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幼幼班" sheetId="1" r:id="rId4"/>
    <sheet state="visible" name="小班" sheetId="2" r:id="rId5"/>
    <sheet state="visible" name="中班" sheetId="3" r:id="rId6"/>
    <sheet state="visible" name="大班" sheetId="4" r:id="rId7"/>
    <sheet state="visible" name="小一" sheetId="5" r:id="rId8"/>
    <sheet state="visible" name="小二" sheetId="6" r:id="rId9"/>
    <sheet state="visible" name="小三" sheetId="7" r:id="rId10"/>
    <sheet state="visible" name="小四" sheetId="8" r:id="rId11"/>
    <sheet state="visible" name="小五" sheetId="9" r:id="rId12"/>
    <sheet state="visible" name="小六" sheetId="10" r:id="rId13"/>
    <sheet state="visible" name="七年級" sheetId="11" r:id="rId14"/>
    <sheet state="visible" name="八年級" sheetId="12" r:id="rId15"/>
    <sheet state="visible" name="九年級" sheetId="13" r:id="rId16"/>
    <sheet state="visible" name="高一" sheetId="14" r:id="rId17"/>
    <sheet state="visible" name="高二" sheetId="15" r:id="rId18"/>
    <sheet state="visible" name="高三" sheetId="16" r:id="rId19"/>
    <sheet state="visible" name="大專" sheetId="17" r:id="rId20"/>
    <sheet state="visible" name="社青" sheetId="18" r:id="rId21"/>
  </sheets>
  <definedNames/>
  <calcPr/>
</workbook>
</file>

<file path=xl/sharedStrings.xml><?xml version="1.0" encoding="utf-8"?>
<sst xmlns="http://schemas.openxmlformats.org/spreadsheetml/2006/main" count="3631" uniqueCount="622">
  <si>
    <t>林文敘</t>
  </si>
  <si>
    <t>基本資料</t>
  </si>
  <si>
    <t>出生日期</t>
  </si>
  <si>
    <t>水 洗</t>
  </si>
  <si>
    <t>靈 洗</t>
  </si>
  <si>
    <t>父 親</t>
  </si>
  <si>
    <t>母 親</t>
  </si>
  <si>
    <t>電話</t>
  </si>
  <si>
    <t>家長手機</t>
  </si>
  <si>
    <t>林立恆</t>
  </si>
  <si>
    <t>簡家慧</t>
  </si>
  <si>
    <t>F0919329495</t>
  </si>
  <si>
    <t>M0955215222</t>
  </si>
  <si>
    <t>住址</t>
  </si>
  <si>
    <t>入學年月</t>
  </si>
  <si>
    <t>幼兒</t>
  </si>
  <si>
    <t>幼年</t>
  </si>
  <si>
    <t>少年</t>
  </si>
  <si>
    <t>初級</t>
  </si>
  <si>
    <t>中級</t>
  </si>
  <si>
    <t>高級</t>
  </si>
  <si>
    <t>學歷</t>
  </si>
  <si>
    <t>幼兒園</t>
  </si>
  <si>
    <t>國小</t>
  </si>
  <si>
    <t>國中</t>
  </si>
  <si>
    <t>高中</t>
  </si>
  <si>
    <t>大學</t>
  </si>
  <si>
    <t>研究所</t>
  </si>
  <si>
    <t>出席</t>
  </si>
  <si>
    <t>學齡前(3歲)</t>
  </si>
  <si>
    <t>第一年</t>
  </si>
  <si>
    <t>第二年</t>
  </si>
  <si>
    <t>第三年</t>
  </si>
  <si>
    <t>重要紀事</t>
  </si>
  <si>
    <t>王巧億</t>
  </si>
  <si>
    <t>王永誠</t>
  </si>
  <si>
    <t>李沛潔</t>
  </si>
  <si>
    <t>F0937905205</t>
  </si>
  <si>
    <t>M0975870857</t>
  </si>
  <si>
    <t>台北市北投區文林北路254號6樓</t>
  </si>
  <si>
    <t>林允晴</t>
  </si>
  <si>
    <t>林沐恩</t>
  </si>
  <si>
    <t>黃斯徽</t>
  </si>
  <si>
    <t>F0919142013</t>
  </si>
  <si>
    <t>M0919412013</t>
  </si>
  <si>
    <t>新北市淡水區淡金路38巷92號10樓</t>
  </si>
  <si>
    <t>許祐齊</t>
  </si>
  <si>
    <t>許聖宏</t>
  </si>
  <si>
    <t>陳詩婷</t>
  </si>
  <si>
    <t>F0928109810</t>
  </si>
  <si>
    <t>M0910192302</t>
  </si>
  <si>
    <t>陳凱安</t>
  </si>
  <si>
    <t>尚未</t>
  </si>
  <si>
    <t>鄭愛姿</t>
  </si>
  <si>
    <t>F0935682142</t>
  </si>
  <si>
    <t>M0920682142</t>
  </si>
  <si>
    <t>林文讓</t>
  </si>
  <si>
    <t>有</t>
  </si>
  <si>
    <t>莊恩揚</t>
  </si>
  <si>
    <t>莊宜運</t>
  </si>
  <si>
    <t>王婉容</t>
  </si>
  <si>
    <t>F0980205005</t>
  </si>
  <si>
    <t>M0930952257</t>
  </si>
  <si>
    <t>台北市立農街二段278巷2號4樓之二</t>
  </si>
  <si>
    <t>郭禹承</t>
  </si>
  <si>
    <t>郭恆綱</t>
  </si>
  <si>
    <t>吳智璇</t>
  </si>
  <si>
    <t>F0975390736</t>
  </si>
  <si>
    <t>M0921546801</t>
  </si>
  <si>
    <t>劉心語</t>
  </si>
  <si>
    <t>劉恩平</t>
  </si>
  <si>
    <t>簡毓筠</t>
  </si>
  <si>
    <t>張予甯</t>
  </si>
  <si>
    <t>張嘉祠</t>
  </si>
  <si>
    <t>簡伶怡</t>
  </si>
  <si>
    <t>新北市淡水區濱海路二段202巷27號6樓</t>
  </si>
  <si>
    <t>108/09</t>
  </si>
  <si>
    <t>榮光幼兒園</t>
  </si>
  <si>
    <t>許祐馨</t>
  </si>
  <si>
    <t>陳凱文</t>
  </si>
  <si>
    <t>無</t>
  </si>
  <si>
    <t>王巧歆</t>
  </si>
  <si>
    <t>0975870857</t>
  </si>
  <si>
    <t>林允諾</t>
  </si>
  <si>
    <t>0919412013</t>
  </si>
  <si>
    <t>0919142013</t>
  </si>
  <si>
    <t>106/12</t>
  </si>
  <si>
    <t>110/9</t>
  </si>
  <si>
    <t>吉利托兒所</t>
  </si>
  <si>
    <t>竹圍國小</t>
  </si>
  <si>
    <t>吳逸安</t>
  </si>
  <si>
    <t>104/04</t>
  </si>
  <si>
    <t>吳敏哲</t>
  </si>
  <si>
    <t>馬芝珍</t>
  </si>
  <si>
    <t>2877-1383</t>
  </si>
  <si>
    <t>0972972119</t>
  </si>
  <si>
    <t>台北市士林區天母西路五巷5號5樓</t>
  </si>
  <si>
    <t>0930368912</t>
  </si>
  <si>
    <t>106/09</t>
  </si>
  <si>
    <t>天母附幼</t>
  </si>
  <si>
    <t>天母國小</t>
  </si>
  <si>
    <t>楊道凱</t>
  </si>
  <si>
    <t>楊儒乾</t>
  </si>
  <si>
    <t>吳佳儀</t>
  </si>
  <si>
    <t>台北市內湖區瑞光路6-2號</t>
  </si>
  <si>
    <t>華盛頓幼兒園</t>
  </si>
  <si>
    <t>新湖國小</t>
  </si>
  <si>
    <t>父母因工作分居異地</t>
  </si>
  <si>
    <t>張予杰</t>
  </si>
  <si>
    <t>109/9</t>
  </si>
  <si>
    <t>石牌國小</t>
  </si>
  <si>
    <t>陳天曼</t>
  </si>
  <si>
    <t>陳英傑</t>
  </si>
  <si>
    <t>鄭千慕</t>
  </si>
  <si>
    <t>2873-2610</t>
  </si>
  <si>
    <t>台北市北投區行義路142號5樓</t>
  </si>
  <si>
    <t>文林附幼</t>
  </si>
  <si>
    <t>文林國小</t>
  </si>
  <si>
    <t>陳星伊</t>
  </si>
  <si>
    <t>v</t>
  </si>
  <si>
    <t>陳平</t>
  </si>
  <si>
    <t>鍾佩如</t>
  </si>
  <si>
    <t>父0955127656</t>
  </si>
  <si>
    <t>台北市北投區福美路236號4樓</t>
  </si>
  <si>
    <t>母0980626661</t>
  </si>
  <si>
    <t>士林國小</t>
  </si>
  <si>
    <t>會籍在三重教會，因住石牌附近故上午參加石牌兒聚，下午回三重兒聚</t>
  </si>
  <si>
    <t>2021/9/4安息日下午聚會得聖靈</t>
  </si>
  <si>
    <t>江立多</t>
  </si>
  <si>
    <t>2013.6.10</t>
  </si>
  <si>
    <t>2013.10.27</t>
  </si>
  <si>
    <t>江必偉</t>
  </si>
  <si>
    <t>林立欣</t>
  </si>
  <si>
    <t>(H)8626-0493</t>
  </si>
  <si>
    <t>(O)0952290490/0988585755</t>
  </si>
  <si>
    <t>新北市淡水區坪頂里小坪頂66巷1號6樓</t>
  </si>
  <si>
    <t>108/9</t>
  </si>
  <si>
    <t>坪頂國小附幼</t>
  </si>
  <si>
    <t>立農國小</t>
  </si>
  <si>
    <t>109年9月轉立農國小</t>
  </si>
  <si>
    <t xml:space="preserve">吳子恩 </t>
  </si>
  <si>
    <t>2013.06.04</t>
  </si>
  <si>
    <t>2017.10.30</t>
  </si>
  <si>
    <t>吳振宇</t>
  </si>
  <si>
    <t>陳怡茵</t>
  </si>
  <si>
    <t>(H)
 (02)2827-8150</t>
  </si>
  <si>
    <t>(O)0975782233</t>
  </si>
  <si>
    <t>北市北投區西安街二段275巷10號</t>
  </si>
  <si>
    <t>107年7月搬家到加拿大</t>
  </si>
  <si>
    <t>馬王子慕</t>
  </si>
  <si>
    <t>2013.07.02</t>
  </si>
  <si>
    <t>王文瑞(歿)</t>
  </si>
  <si>
    <t>馬揚慧音</t>
  </si>
  <si>
    <t>(0)935139190/0934135044</t>
  </si>
  <si>
    <t>新北市板橋區莒光路78巷13號2樓</t>
  </si>
  <si>
    <t>莒光國小</t>
  </si>
  <si>
    <t>2022/10/16秋季靈恩會受洗並於當日下午福茶得聖靈。</t>
  </si>
  <si>
    <t>許以樂</t>
  </si>
  <si>
    <t>2013.04.23</t>
  </si>
  <si>
    <t>許智傑</t>
  </si>
  <si>
    <t>李秀玉(阿嬤)</t>
  </si>
  <si>
    <t>(0)922029609(阿嬤)</t>
  </si>
  <si>
    <t>新北市淡水區民族路33巷10號8樓</t>
  </si>
  <si>
    <t>2021春季靈恩會受洗</t>
  </si>
  <si>
    <t>周雋軒</t>
  </si>
  <si>
    <t>周一帆</t>
  </si>
  <si>
    <t>沈秉儀</t>
  </si>
  <si>
    <t>新北市淡水區民族路31巷21號21樓之2</t>
  </si>
  <si>
    <t>關渡國小</t>
  </si>
  <si>
    <t>李宇蕎</t>
  </si>
  <si>
    <t>2012.9.26</t>
  </si>
  <si>
    <t>2023.04.09</t>
  </si>
  <si>
    <t>李建強</t>
  </si>
  <si>
    <t>黃斯瑜</t>
  </si>
  <si>
    <t>台北市北投區吉利街164巷1弄3號5樓</t>
  </si>
  <si>
    <t>110/6</t>
  </si>
  <si>
    <t>2021/6隨母親、姊姊回台定居(父親暫留香港工作)</t>
  </si>
  <si>
    <t>2021年秋季靈恩會得聖靈</t>
  </si>
  <si>
    <t>2022父親來台定居，同年10月秋季靈恩會得聖靈</t>
  </si>
  <si>
    <t>2023年6月全家移民英國</t>
  </si>
  <si>
    <t>周沐諄</t>
  </si>
  <si>
    <t>2012.02.28</t>
  </si>
  <si>
    <t>104.10.10</t>
  </si>
  <si>
    <t>周籥(外)</t>
  </si>
  <si>
    <t>蘇郁茹</t>
  </si>
  <si>
    <t>2834-8350</t>
  </si>
  <si>
    <t>台北市士林區芝玉路一段124巷5號</t>
  </si>
  <si>
    <t>芝山附幼</t>
  </si>
  <si>
    <t>雨農國小</t>
  </si>
  <si>
    <t>姓名</t>
  </si>
  <si>
    <t>柳馨琂</t>
  </si>
  <si>
    <t>2011.03.15</t>
  </si>
  <si>
    <t>V (2011.5)</t>
  </si>
  <si>
    <t>V (2020.10.24石牌靈恩會)</t>
  </si>
  <si>
    <t>柳武華</t>
  </si>
  <si>
    <t>王孟芳</t>
  </si>
  <si>
    <t>(H)2623-3497</t>
  </si>
  <si>
    <t>(O)0933873610/0930798034</t>
  </si>
  <si>
    <t>新北市淡水區新春街148之17號7樓</t>
  </si>
  <si>
    <t>百齡附幼</t>
  </si>
  <si>
    <t>新興國小</t>
  </si>
  <si>
    <t>吳訟箴</t>
  </si>
  <si>
    <t>2009.10.30</t>
  </si>
  <si>
    <t>V (2010.3)</t>
  </si>
  <si>
    <t>V (2019.7)</t>
  </si>
  <si>
    <t>吳淵塘</t>
  </si>
  <si>
    <t>王裘莉</t>
  </si>
  <si>
    <t>父 0930137383
母 0989097383</t>
  </si>
  <si>
    <t>新北市三重區仁愛街125巷21號5樓</t>
  </si>
  <si>
    <t>太平國小</t>
  </si>
  <si>
    <t>葉鈞仰</t>
  </si>
  <si>
    <t>2010.4.20</t>
  </si>
  <si>
    <t>V (2010年)</t>
  </si>
  <si>
    <t>V (2021.4.15石牌靈恩會)</t>
  </si>
  <si>
    <t>葉宏恩</t>
  </si>
  <si>
    <t>江淑青</t>
  </si>
  <si>
    <t>(H)28215745</t>
  </si>
  <si>
    <t>父0918183811
母0921820007</t>
  </si>
  <si>
    <t>台北市吉利街132巷8號4樓</t>
  </si>
  <si>
    <t>何嘉仁幼兒園</t>
  </si>
  <si>
    <t>立農</t>
  </si>
  <si>
    <t>吳子維</t>
  </si>
  <si>
    <t>2010.09.19</t>
  </si>
  <si>
    <t>(H)(02)28278150</t>
  </si>
  <si>
    <t>吳嘉宥</t>
  </si>
  <si>
    <t>2010.5.8</t>
  </si>
  <si>
    <t>V (2010.10.31)</t>
  </si>
  <si>
    <t>V (2020.10.25石牌靈恩會)</t>
  </si>
  <si>
    <t>吳宇皓</t>
  </si>
  <si>
    <t>郭亞男</t>
  </si>
  <si>
    <t>(02)28714204</t>
  </si>
  <si>
    <t>父0975282022
母0975262780</t>
  </si>
  <si>
    <t>台北市士林區天母東路8巷31弄2號5樓</t>
  </si>
  <si>
    <t>三玉國小</t>
  </si>
  <si>
    <t>江立恩</t>
  </si>
  <si>
    <t>2010.1.7</t>
  </si>
  <si>
    <t>V (2010.5.2)</t>
  </si>
  <si>
    <t>V</t>
  </si>
  <si>
    <t>(02)86260493</t>
  </si>
  <si>
    <t>父0988585755
母0952290490</t>
  </si>
  <si>
    <t>狄斯耐幼兒園</t>
  </si>
  <si>
    <t>坪頂國小</t>
  </si>
  <si>
    <t>陳唯恩</t>
  </si>
  <si>
    <t>2008.10.2</t>
  </si>
  <si>
    <t>V (2015年)</t>
  </si>
  <si>
    <t>V (2016年)</t>
  </si>
  <si>
    <t>0968101657</t>
  </si>
  <si>
    <t>父 0955127666
母 0980626661</t>
  </si>
  <si>
    <t>士林</t>
  </si>
  <si>
    <t>陳天宓</t>
  </si>
  <si>
    <t>2009.1.6</t>
  </si>
  <si>
    <t>V (2019年)</t>
  </si>
  <si>
    <t>V (2020.10.21石牌靈恩會)</t>
  </si>
  <si>
    <t>(02)28732610</t>
  </si>
  <si>
    <t>父0937900124
母0937824724</t>
  </si>
  <si>
    <t>北市北投區行義路142號5樓</t>
  </si>
  <si>
    <t>文林</t>
  </si>
  <si>
    <t>王劭揚</t>
  </si>
  <si>
    <t>2009.6.9</t>
  </si>
  <si>
    <t>V (2009秋季)</t>
  </si>
  <si>
    <t>V (2019.7少特)</t>
  </si>
  <si>
    <t>王建偉</t>
  </si>
  <si>
    <t>王臆斐</t>
  </si>
  <si>
    <t>(H)28724343</t>
  </si>
  <si>
    <t>父0921820009
母0988815409</t>
  </si>
  <si>
    <t>台北市天母西路12號6樓之5</t>
  </si>
  <si>
    <t>雙連</t>
  </si>
  <si>
    <t>天母</t>
  </si>
  <si>
    <t>柳馨亞</t>
  </si>
  <si>
    <t>2009.1.19</t>
  </si>
  <si>
    <t>V (2009年)</t>
  </si>
  <si>
    <t>V (2020.10.23石牌靈恩會)</t>
  </si>
  <si>
    <t>0930798034</t>
  </si>
  <si>
    <t>父0933873610
母0930798034</t>
  </si>
  <si>
    <t>快樂家族</t>
  </si>
  <si>
    <t>百齡-新興</t>
  </si>
  <si>
    <t>正德</t>
  </si>
  <si>
    <t>梁倚樂</t>
  </si>
  <si>
    <t>2009.1.21</t>
  </si>
  <si>
    <t>V (2021.4.17石牌靈恩會)</t>
  </si>
  <si>
    <t>梁露輝</t>
  </si>
  <si>
    <t>羅珮君</t>
  </si>
  <si>
    <t>(H)28760219</t>
  </si>
  <si>
    <t>父0937024491
母0937024431</t>
  </si>
  <si>
    <t>台北市士林區中山北路六段776巷76號B1</t>
  </si>
  <si>
    <t>青青幼兒園</t>
  </si>
  <si>
    <t>士東國小</t>
  </si>
  <si>
    <t>竹圍</t>
  </si>
  <si>
    <t>林立謙</t>
  </si>
  <si>
    <t>2009.2.18</t>
  </si>
  <si>
    <t>林梓榆</t>
  </si>
  <si>
    <t>0955377990</t>
  </si>
  <si>
    <t>0955966990</t>
  </si>
  <si>
    <t>台北市士林區忠誠路二段160巷16號5樓</t>
  </si>
  <si>
    <t>福林附幼</t>
  </si>
  <si>
    <t>福林國小</t>
  </si>
  <si>
    <t>北投</t>
  </si>
  <si>
    <t>李蕎軒</t>
  </si>
  <si>
    <t>2009.3.14</t>
  </si>
  <si>
    <t>28227036</t>
  </si>
  <si>
    <t>石牌國中</t>
  </si>
  <si>
    <t>江立恆</t>
  </si>
  <si>
    <t>2007.10.03</t>
  </si>
  <si>
    <t>v(2008.05.04)</t>
  </si>
  <si>
    <t>v(2019.07)</t>
  </si>
  <si>
    <t>(H)
 (02)8626-0493</t>
  </si>
  <si>
    <t>(O)
 0988-585755父
 0952-290490母</t>
  </si>
  <si>
    <t>明德</t>
  </si>
  <si>
    <t>陳昕妮</t>
  </si>
  <si>
    <t>2008.08.11</t>
  </si>
  <si>
    <t>v(2009.10.04)</t>
  </si>
  <si>
    <t>v(2018.08.04兒宣營)</t>
  </si>
  <si>
    <t>陳元進</t>
  </si>
  <si>
    <t>廖淑娟</t>
  </si>
  <si>
    <t>(H)
 (02)2823-8930</t>
  </si>
  <si>
    <t>(O)
0905-466799
0939-856938</t>
  </si>
  <si>
    <t>台北市北投區致遠一路一段105號3樓</t>
  </si>
  <si>
    <t>陳天媺</t>
  </si>
  <si>
    <t>2007.10.20</t>
  </si>
  <si>
    <t>v(2008)</t>
  </si>
  <si>
    <t>v(2019.10)</t>
  </si>
  <si>
    <t xml:space="preserve">
</t>
  </si>
  <si>
    <t>(H)
2873-2610
(O)
 父：0937-900124
 母：0937-824724</t>
  </si>
  <si>
    <t>明德國中</t>
  </si>
  <si>
    <t>葉鈞韶</t>
  </si>
  <si>
    <t>2008.01.31</t>
  </si>
  <si>
    <t>v(2017.04)</t>
  </si>
  <si>
    <t>(H)2821-5745</t>
  </si>
  <si>
    <t>(H)
2821-5745
(O)
0918-183811(父)
0921-820007(母)</t>
  </si>
  <si>
    <t>台北市北投區吉利街132巷8號4樓</t>
  </si>
  <si>
    <t>吉利幼兒園</t>
  </si>
  <si>
    <t>私立幼華</t>
  </si>
  <si>
    <t>王劭加</t>
  </si>
  <si>
    <t>v(2008春季靈恩會)</t>
  </si>
  <si>
    <t>x</t>
  </si>
  <si>
    <t>(02)28724343</t>
  </si>
  <si>
    <t>0921820009(父)
0988815409(母)</t>
  </si>
  <si>
    <t>天母西路12號六樓之5</t>
  </si>
  <si>
    <t>薇閣幼兒園</t>
  </si>
  <si>
    <t>張靜瑜</t>
  </si>
  <si>
    <t>v(2017)</t>
  </si>
  <si>
    <t>張炳煌</t>
  </si>
  <si>
    <t>陳慧璇</t>
  </si>
  <si>
    <t>0956064810</t>
  </si>
  <si>
    <t>0930101592(父)
0956064810(母)</t>
  </si>
  <si>
    <t>台北市北投區吉利街39巷2號5樓</t>
  </si>
  <si>
    <t>石牌</t>
  </si>
  <si>
    <t>*67</t>
  </si>
  <si>
    <t>*110學年度第四季因個人因素，沒有參加國中班</t>
  </si>
  <si>
    <t>李詠甯</t>
  </si>
  <si>
    <t>○</t>
  </si>
  <si>
    <t>李維雄</t>
  </si>
  <si>
    <t>江婉屏</t>
  </si>
  <si>
    <t>(H)2820-2749</t>
  </si>
  <si>
    <t>0955512787
0952281807</t>
  </si>
  <si>
    <t>建民路91巷2弄10號2樓</t>
  </si>
  <si>
    <t xml:space="preserve"> </t>
  </si>
  <si>
    <t>明德附幼</t>
  </si>
  <si>
    <t>復興</t>
  </si>
  <si>
    <t>98％</t>
  </si>
  <si>
    <t>張凱威</t>
  </si>
  <si>
    <t>張智鈞</t>
  </si>
  <si>
    <t>陳婉萍</t>
  </si>
  <si>
    <t>(H)8626-0892</t>
  </si>
  <si>
    <t>0937018496(母)</t>
  </si>
  <si>
    <t>淡水區淡金路2號11樓之3</t>
  </si>
  <si>
    <t>徐滙</t>
  </si>
  <si>
    <t>成淵</t>
  </si>
  <si>
    <t>楊慧恩</t>
  </si>
  <si>
    <t>廖國盛</t>
  </si>
  <si>
    <t>楊家玲</t>
  </si>
  <si>
    <t>(H)2823-5839</t>
  </si>
  <si>
    <t>0975125280（美恩）
0986557315（筱恩）</t>
  </si>
  <si>
    <t>台北市士林區延平北路六段261巷2-2號10樓</t>
  </si>
  <si>
    <t>社子國小</t>
  </si>
  <si>
    <t>陽明國中</t>
  </si>
  <si>
    <t>陽明</t>
  </si>
  <si>
    <t>林鷹展</t>
  </si>
  <si>
    <t>林伯昌</t>
  </si>
  <si>
    <t>鄭元貞</t>
  </si>
  <si>
    <t xml:space="preserve">0970346003(父)
0935527003(母)
</t>
  </si>
  <si>
    <t>台北市北投區中和街380-2號4樓</t>
  </si>
  <si>
    <t>新民</t>
  </si>
  <si>
    <t>＊86.96%</t>
  </si>
  <si>
    <t>八年級第三季到淡水聚會</t>
  </si>
  <si>
    <t>＊僅計算到第二季出席率</t>
  </si>
  <si>
    <t>余姿瑩</t>
  </si>
  <si>
    <t>余威前</t>
  </si>
  <si>
    <t>楊維寧</t>
  </si>
  <si>
    <t xml:space="preserve">0975726101(父)
0975726101(母)
</t>
  </si>
  <si>
    <t>台北市天母東路50巷20號8樓之5</t>
  </si>
  <si>
    <t>家中自學</t>
  </si>
  <si>
    <t>隸屬松山教會</t>
  </si>
  <si>
    <t>高中班除了前面幾次線上上課，後來都沒來聚會</t>
  </si>
  <si>
    <t>汪立筠</t>
  </si>
  <si>
    <t>汪飛龍</t>
  </si>
  <si>
    <t>曾秀鑾</t>
  </si>
  <si>
    <t>(H)28917906</t>
  </si>
  <si>
    <t xml:space="preserve">0918348002(父)
0930211348(母)
</t>
  </si>
  <si>
    <t>台北市北投區公館路132號3樓</t>
  </si>
  <si>
    <t>蘭雅附幼</t>
  </si>
  <si>
    <t>明德國小</t>
  </si>
  <si>
    <t>康寧護專</t>
  </si>
  <si>
    <t>張心瑜</t>
  </si>
  <si>
    <t>2820-8230</t>
  </si>
  <si>
    <t xml:space="preserve">0930101592(父)
0956064810(母)
</t>
  </si>
  <si>
    <t>台北市北投區吉利里5鄰吉利街39巷2號5樓</t>
  </si>
  <si>
    <t>中正高中</t>
  </si>
  <si>
    <t>賴恩鈞</t>
  </si>
  <si>
    <t>賴建宏</t>
  </si>
  <si>
    <t>林主惠</t>
  </si>
  <si>
    <t>0932351634(父)</t>
  </si>
  <si>
    <t>文德</t>
  </si>
  <si>
    <t>中山</t>
  </si>
  <si>
    <t>台北商專財經</t>
  </si>
  <si>
    <t>吳聿箴</t>
  </si>
  <si>
    <t>(02)29769636</t>
  </si>
  <si>
    <t>0930137383(父)
0989097383(母)</t>
  </si>
  <si>
    <t>天鵝園太平國小附設幼兒園</t>
  </si>
  <si>
    <t>太平</t>
  </si>
  <si>
    <t>忠孝</t>
  </si>
  <si>
    <t>基隆高中</t>
  </si>
  <si>
    <t>王維欣</t>
  </si>
  <si>
    <t>王永德</t>
  </si>
  <si>
    <t>0933693305</t>
  </si>
  <si>
    <t>新竹實驗中學</t>
  </si>
  <si>
    <t>*100%</t>
  </si>
  <si>
    <t>原屬北投教會，立筠補習班同學。石牌靈恩會得聖靈，偶爾會到中級班聚會</t>
  </si>
  <si>
    <t>外交官子女，平時就讀新竹實驗中學</t>
  </si>
  <si>
    <t>＊初級班第三年僅計算4/17（第一次來石牌初級班）至5/15（全面線上聚會）</t>
  </si>
  <si>
    <t>李詠祈</t>
  </si>
  <si>
    <t>0955512787(父)
0952281807(母)</t>
  </si>
  <si>
    <t>達義</t>
  </si>
  <si>
    <t>北士商</t>
  </si>
  <si>
    <t>王劭謙</t>
  </si>
  <si>
    <t>薇閣</t>
  </si>
  <si>
    <t>許博凱</t>
  </si>
  <si>
    <t>X</t>
  </si>
  <si>
    <t>許瑞峰</t>
  </si>
  <si>
    <t>林莉珊</t>
  </si>
  <si>
    <t>2827-5321</t>
  </si>
  <si>
    <t xml:space="preserve">0918957753
</t>
  </si>
  <si>
    <t>台北市北投區裕民六路114巷35弄4之1號4樓</t>
  </si>
  <si>
    <t>中正預校</t>
  </si>
  <si>
    <t>＊小朋友是慕道者。母親是信徒，而父親是未信者。</t>
  </si>
  <si>
    <t>羅胤宸</t>
  </si>
  <si>
    <t>羅智康</t>
  </si>
  <si>
    <t>宋穎紅</t>
  </si>
  <si>
    <t>0968898890(父)
0968781717(女)</t>
  </si>
  <si>
    <t>台北市德行東路184號3樓</t>
  </si>
  <si>
    <t>復興美工</t>
  </si>
  <si>
    <t>母親未信</t>
  </si>
  <si>
    <t>黃寬悅</t>
  </si>
  <si>
    <t>黃信得</t>
  </si>
  <si>
    <t>王瑜清</t>
  </si>
  <si>
    <t>薇閣高中</t>
  </si>
  <si>
    <t>原屬大同(天母)，高中開始到石牌來當教員、上中級班</t>
  </si>
  <si>
    <t>劉恩玟</t>
  </si>
  <si>
    <t>黃伯志</t>
  </si>
  <si>
    <t>劉淑珍</t>
  </si>
  <si>
    <t>(02)2821-7091
0928919962</t>
  </si>
  <si>
    <t>0932105968(父)
0911239304(母)</t>
  </si>
  <si>
    <t>台北市北投區自強路5巷147號1樓</t>
  </si>
  <si>
    <t>逸光(龍潭)</t>
  </si>
  <si>
    <t>松山</t>
  </si>
  <si>
    <t>＊父親、母親是教會信徒</t>
  </si>
  <si>
    <t>＊102年暑期少特班得聖靈</t>
  </si>
  <si>
    <t>＊已改母姓</t>
  </si>
  <si>
    <t>劉恩琪</t>
  </si>
  <si>
    <t>ｖ</t>
  </si>
  <si>
    <r>
      <rPr>
        <rFont val="DFKai-SB"/>
        <color rgb="FFF4CCCC"/>
        <sz val="12.0"/>
      </rPr>
      <t>(02)2821-7091</t>
    </r>
    <r>
      <rPr>
        <rFont val="DFKai-SB"/>
        <color rgb="FF000000"/>
        <sz val="12.0"/>
      </rPr>
      <t xml:space="preserve">
0928918882</t>
    </r>
  </si>
  <si>
    <t>入學年</t>
  </si>
  <si>
    <t>＊父親、母親是教會信徒
＊已改為母姓</t>
  </si>
  <si>
    <t>黃可郁</t>
  </si>
  <si>
    <t>黃駿富</t>
  </si>
  <si>
    <t>潘淑珍</t>
  </si>
  <si>
    <r>
      <rPr>
        <rFont val="DFKai-SB"/>
        <color rgb="FFF4CCCC"/>
        <sz val="12.0"/>
      </rPr>
      <t>(02)22796366</t>
    </r>
    <r>
      <rPr>
        <rFont val="DFKai-SB"/>
        <color rgb="FF000000"/>
        <sz val="12.0"/>
      </rPr>
      <t xml:space="preserve">
0928918882</t>
    </r>
  </si>
  <si>
    <t>0932196322(父）
0935879193(母)</t>
  </si>
  <si>
    <t>新北市三芝區中正路二段24號1樓</t>
  </si>
  <si>
    <t>橫山國小</t>
  </si>
  <si>
    <t>正德國中</t>
  </si>
  <si>
    <t>基隆女中</t>
  </si>
  <si>
    <t>原為石牌信徒，後因搬家緣故至新莊教會聚會。今年3月開始固定在石牌聚會。</t>
  </si>
  <si>
    <t>搬去三芝後有較少來石牌,比較常在淡水聚會</t>
  </si>
  <si>
    <t>高中皆在石牌聚會</t>
  </si>
  <si>
    <t>劉韋喆</t>
  </si>
  <si>
    <t>劉建亨</t>
  </si>
  <si>
    <t>林嘉紋</t>
  </si>
  <si>
    <t>(02)28219440</t>
  </si>
  <si>
    <t>(O)0926268890</t>
  </si>
  <si>
    <t>台北市致遠二路125巷1號2樓</t>
  </si>
  <si>
    <t>民族國中</t>
  </si>
  <si>
    <t>中正</t>
  </si>
  <si>
    <t>1.101年春季靈恩會得聖靈</t>
  </si>
  <si>
    <t>2.單親家庭</t>
  </si>
  <si>
    <t>張凱若</t>
  </si>
  <si>
    <t>0972963185</t>
  </si>
  <si>
    <t>0937018496(母)
0919546037(父)</t>
  </si>
  <si>
    <t>新北市淡水區淡金路2號11樓之3</t>
  </si>
  <si>
    <t>聖女女中</t>
  </si>
  <si>
    <t>＊101年暑假少特班得聖靈</t>
  </si>
  <si>
    <t>＊小朋友在102年春季佈道會受洗</t>
  </si>
  <si>
    <t>許英崙</t>
  </si>
  <si>
    <t xml:space="preserve"> 基本資料 </t>
  </si>
  <si>
    <t>水    洗</t>
  </si>
  <si>
    <t>靈    洗</t>
  </si>
  <si>
    <t>父    親</t>
  </si>
  <si>
    <t>母    親</t>
  </si>
  <si>
    <t>廖家立</t>
  </si>
  <si>
    <t>許惟雅</t>
  </si>
  <si>
    <t>0988722131</t>
  </si>
  <si>
    <t>0922422131(父)
0939833895(母)</t>
  </si>
  <si>
    <t>北市民族西路187巷41號3樓</t>
  </si>
  <si>
    <t>內湖高工</t>
  </si>
  <si>
    <t>原為大同信徒，屬天母區。2018年9月起固定在石牌參加中級班。</t>
  </si>
  <si>
    <t>李潔米</t>
  </si>
  <si>
    <t>李文振</t>
  </si>
  <si>
    <t>陳世英</t>
  </si>
  <si>
    <t>(02)28343905</t>
  </si>
  <si>
    <t>台北市士林區芝玉路一段202號15樓</t>
  </si>
  <si>
    <t>南非</t>
  </si>
  <si>
    <t>美國學校</t>
  </si>
  <si>
    <t>溫哥華</t>
  </si>
  <si>
    <t>＊高中畢業後出國念書</t>
  </si>
  <si>
    <t>許茵茵</t>
  </si>
  <si>
    <t>敦化</t>
  </si>
  <si>
    <t>高雄師範</t>
  </si>
  <si>
    <t>＊常常補習和高中班時間重疊</t>
  </si>
  <si>
    <t>王紫瑩</t>
  </si>
  <si>
    <t>84.3.31</t>
  </si>
  <si>
    <t>王智雄</t>
  </si>
  <si>
    <t>賴秀連</t>
  </si>
  <si>
    <t>(H)2858-7725</t>
  </si>
  <si>
    <t>(O)0916607776</t>
  </si>
  <si>
    <t>台北市北投區知行路293巷16號9樓</t>
  </si>
  <si>
    <t>思恩幼兒園</t>
  </si>
  <si>
    <t>蘭雅國中</t>
  </si>
  <si>
    <t>淡江中學</t>
  </si>
  <si>
    <t>中華大學</t>
  </si>
  <si>
    <t>郭怡馨</t>
  </si>
  <si>
    <t>ˇ</t>
  </si>
  <si>
    <t>郭學臣</t>
  </si>
  <si>
    <t>林麗真</t>
  </si>
  <si>
    <t>明德路182號4樓</t>
  </si>
  <si>
    <t>實踐</t>
  </si>
  <si>
    <t>王志豪</t>
  </si>
  <si>
    <t>王東信</t>
  </si>
  <si>
    <t>黏貴雅</t>
  </si>
  <si>
    <t>台南市東區東門路二段365巷33弄4號1樓</t>
  </si>
  <si>
    <t>陳雅憶</t>
  </si>
  <si>
    <t>陳聰文</t>
  </si>
  <si>
    <t>高秀碧</t>
  </si>
  <si>
    <t>(02)28229904</t>
  </si>
  <si>
    <t>(O)0937469308</t>
  </si>
  <si>
    <t>台北市尊賢街264巷7號4樓</t>
  </si>
  <si>
    <t>欣榮</t>
  </si>
  <si>
    <t>稻江護家</t>
  </si>
  <si>
    <t>周語衡</t>
  </si>
  <si>
    <t>84.8.16</t>
  </si>
  <si>
    <t>周黃澄</t>
  </si>
  <si>
    <t>林曉鳳</t>
  </si>
  <si>
    <t>(02)28363374</t>
  </si>
  <si>
    <t>(O)0922659497</t>
  </si>
  <si>
    <t>台北市士林區忠義街125號5樓</t>
  </si>
  <si>
    <t>正音幼兒園</t>
  </si>
  <si>
    <t>芝山國小</t>
  </si>
  <si>
    <t>淡水商工</t>
  </si>
  <si>
    <t>文化</t>
  </si>
  <si>
    <t>李家瑋</t>
  </si>
  <si>
    <t>李政宏</t>
  </si>
  <si>
    <t>邱雅玲</t>
  </si>
  <si>
    <t>(O)0921127215</t>
  </si>
  <si>
    <t>台北市中山北路7段14巷2號9樓</t>
  </si>
  <si>
    <t>三玉</t>
  </si>
  <si>
    <t>成功</t>
  </si>
  <si>
    <t>長庚</t>
  </si>
  <si>
    <t>2013學生靈恩會得聖靈</t>
  </si>
  <si>
    <t>高語昕</t>
  </si>
  <si>
    <t>高春霖</t>
  </si>
  <si>
    <t>柯怡君</t>
  </si>
  <si>
    <t>(O)0920955157</t>
  </si>
  <si>
    <t>(0975209327</t>
  </si>
  <si>
    <t>新北市淡水鎮學府路32巷43號5樓</t>
  </si>
  <si>
    <t>真理</t>
  </si>
  <si>
    <t>童若水</t>
  </si>
  <si>
    <t>童福駿</t>
  </si>
  <si>
    <t>黃靖淳</t>
  </si>
  <si>
    <t>北投區致遠三路55巷84號</t>
  </si>
  <si>
    <t>政大</t>
  </si>
  <si>
    <t>何慕柔</t>
  </si>
  <si>
    <t>何秉德</t>
  </si>
  <si>
    <t>吳瑞珠</t>
  </si>
  <si>
    <t>(O)0933091231</t>
  </si>
  <si>
    <t>淡水鎮北新路119巷9號12樓</t>
  </si>
  <si>
    <t>大同</t>
  </si>
  <si>
    <t>陳詠恩</t>
  </si>
  <si>
    <t>陳聰保</t>
  </si>
  <si>
    <t>黃秀滿</t>
  </si>
  <si>
    <t>(O)0973069209</t>
  </si>
  <si>
    <t>尊賢街264巷7-1號5F</t>
  </si>
  <si>
    <t>未升學</t>
  </si>
  <si>
    <t>周語潔</t>
  </si>
  <si>
    <t>忠義路125號5樓</t>
  </si>
  <si>
    <t>蘭雅</t>
  </si>
  <si>
    <t>馬階護專</t>
  </si>
  <si>
    <t>洪嘉亨</t>
  </si>
  <si>
    <t>原屬教會</t>
  </si>
  <si>
    <t>黎明</t>
  </si>
  <si>
    <t>洪群</t>
  </si>
  <si>
    <t>吳靜勳</t>
  </si>
  <si>
    <t>李宜恩</t>
  </si>
  <si>
    <t>李俊達</t>
  </si>
  <si>
    <t>童秀妹</t>
  </si>
  <si>
    <t>高雄市楠梓區楠陽路63巷10-3號</t>
  </si>
  <si>
    <t>國北護</t>
  </si>
  <si>
    <t>羅珩</t>
  </si>
  <si>
    <t>羅忠孝</t>
  </si>
  <si>
    <t>陳盈如</t>
  </si>
  <si>
    <t>(0)0979036092</t>
  </si>
  <si>
    <t>(父)0929551288
(母)0983886085</t>
  </si>
  <si>
    <t>台北科大車輛所</t>
  </si>
  <si>
    <t>2017年就讀研究所來石牌聚會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</si>
</sst>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/mm/dd"/>
    <numFmt numFmtId="165" formatCode="yyyy/mm"/>
    <numFmt numFmtId="166" formatCode="yyyy/m/d"/>
    <numFmt numFmtId="167" formatCode="yyyy/m"/>
    <numFmt numFmtId="168" formatCode="yyyy/m月"/>
  </numFmts>
  <fonts count="12">
    <font>
      <sz val="12.0"/>
      <color rgb="FF000000"/>
      <name val="PMingLiu"/>
    </font>
    <font>
      <name val="DFKai-SB"/>
    </font>
    <font>
      <sz val="12.0"/>
      <color rgb="FF000000"/>
      <name val="DFKai-SB"/>
    </font>
    <font/>
    <font>
      <color rgb="FF000000"/>
      <name val="DFKai-SB"/>
    </font>
    <font>
      <color rgb="FF000000"/>
      <name val="Arial"/>
    </font>
    <font>
      <color rgb="FF000000"/>
      <name val="BiauKai"/>
    </font>
    <font>
      <sz val="12.0"/>
      <color rgb="FF000000"/>
      <name val="新細明體"/>
    </font>
    <font>
      <b/>
      <sz val="12.0"/>
      <color rgb="FF000000"/>
      <name val="DFKai-SB"/>
    </font>
    <font>
      <sz val="12.0"/>
      <color rgb="FFFF0000"/>
      <name val="DFKai-SB"/>
    </font>
    <font>
      <sz val="12.0"/>
      <name val="PMingLiu"/>
    </font>
    <font>
      <sz val="12.0"/>
      <color rgb="FFF4CCCC"/>
      <name val="DFKai-SB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right style="thick">
        <color rgb="FF000000"/>
      </right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22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1" fillId="0" fontId="2" numFmtId="0" xfId="0" applyAlignment="1" applyBorder="1" applyFont="1">
      <alignment horizontal="left" readingOrder="0" shrinkToFit="0" vertical="center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2" numFmtId="0" xfId="0" applyAlignment="1" applyBorder="1" applyFont="1">
      <alignment horizontal="left" readingOrder="0" shrinkToFit="0" vertical="center" wrapText="0"/>
    </xf>
    <xf borderId="4" fillId="0" fontId="3" numFmtId="0" xfId="0" applyAlignment="1" applyBorder="1" applyFont="1">
      <alignment vertical="center"/>
    </xf>
    <xf borderId="5" fillId="0" fontId="4" numFmtId="164" xfId="0" applyAlignment="1" applyBorder="1" applyFont="1" applyNumberFormat="1">
      <alignment horizontal="left" readingOrder="0" shrinkToFit="0" vertical="bottom" wrapText="0"/>
    </xf>
    <xf borderId="5" fillId="0" fontId="2" numFmtId="0" xfId="0" applyAlignment="1" applyBorder="1" applyFont="1">
      <alignment horizontal="left" shrinkToFit="0" vertical="center" wrapText="0"/>
    </xf>
    <xf borderId="5" fillId="0" fontId="2" numFmtId="0" xfId="0" applyAlignment="1" applyBorder="1" applyFont="1">
      <alignment horizontal="left" readingOrder="0" shrinkToFit="0" vertical="center" wrapText="0"/>
    </xf>
    <xf borderId="5" fillId="0" fontId="4" numFmtId="0" xfId="0" applyAlignment="1" applyBorder="1" applyFont="1">
      <alignment horizontal="left" readingOrder="0" shrinkToFit="0" vertical="bottom" wrapText="0"/>
    </xf>
    <xf borderId="6" fillId="0" fontId="4" numFmtId="0" xfId="0" applyAlignment="1" applyBorder="1" applyFont="1">
      <alignment horizontal="left" readingOrder="0" shrinkToFit="0" vertical="bottom" wrapText="0"/>
    </xf>
    <xf borderId="7" fillId="0" fontId="3" numFmtId="0" xfId="0" applyAlignment="1" applyBorder="1" applyFont="1">
      <alignment vertical="center"/>
    </xf>
    <xf borderId="8" fillId="0" fontId="2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8" fillId="0" fontId="2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left" shrinkToFit="0" vertical="center" wrapText="0"/>
    </xf>
    <xf borderId="4" fillId="0" fontId="2" numFmtId="0" xfId="0" applyAlignment="1" applyBorder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0" fillId="0" fontId="2" numFmtId="0" xfId="0" applyAlignment="1" applyBorder="1" applyFont="1">
      <alignment horizontal="left" shrinkToFit="0" vertical="center" wrapText="0"/>
    </xf>
    <xf borderId="5" fillId="0" fontId="2" numFmtId="165" xfId="0" applyAlignment="1" applyBorder="1" applyFont="1" applyNumberFormat="1">
      <alignment horizontal="left" readingOrder="0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5" fillId="0" fontId="4" numFmtId="165" xfId="0" applyAlignment="1" applyBorder="1" applyFont="1" applyNumberFormat="1">
      <alignment horizontal="left" readingOrder="0" shrinkToFit="0" vertical="bottom" wrapText="0"/>
    </xf>
    <xf borderId="0" fillId="0" fontId="2" numFmtId="0" xfId="0" applyAlignment="1" applyFont="1">
      <alignment horizontal="left" shrinkToFit="0" vertical="center" wrapText="0"/>
    </xf>
    <xf borderId="10" fillId="0" fontId="2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horizontal="left" readingOrder="0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2" numFmtId="0" xfId="0" applyAlignment="1" applyBorder="1" applyFont="1">
      <alignment horizontal="left" shrinkToFit="0" vertical="center" wrapText="0"/>
    </xf>
    <xf borderId="5" fillId="0" fontId="4" numFmtId="166" xfId="0" applyAlignment="1" applyBorder="1" applyFont="1" applyNumberFormat="1">
      <alignment horizontal="left" readingOrder="0" shrinkToFit="0" vertical="bottom" wrapText="0"/>
    </xf>
    <xf borderId="12" fillId="0" fontId="2" numFmtId="0" xfId="0" applyAlignment="1" applyBorder="1" applyFont="1">
      <alignment horizontal="left" readingOrder="0" shrinkToFit="0" vertical="center" wrapText="0"/>
    </xf>
    <xf borderId="5" fillId="0" fontId="2" numFmtId="167" xfId="0" applyAlignment="1" applyBorder="1" applyFont="1" applyNumberFormat="1">
      <alignment horizontal="left" readingOrder="0" shrinkToFit="0" vertical="center" wrapText="0"/>
    </xf>
    <xf borderId="5" fillId="0" fontId="4" numFmtId="167" xfId="0" applyAlignment="1" applyBorder="1" applyFont="1" applyNumberFormat="1">
      <alignment horizontal="lef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center" wrapText="0"/>
    </xf>
    <xf borderId="0" fillId="0" fontId="1" numFmtId="0" xfId="0" applyAlignment="1" applyFont="1">
      <alignment vertical="center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0" fillId="0" fontId="4" numFmtId="164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4" numFmtId="0" xfId="0" applyAlignment="1" applyBorder="1" applyFont="1">
      <alignment readingOrder="0" shrinkToFit="0" vertical="bottom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right"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5" fillId="0" fontId="4" numFmtId="0" xfId="0" applyAlignment="1" applyBorder="1" applyFont="1">
      <alignment readingOrder="0" shrinkToFit="0" vertical="bottom" wrapText="0"/>
    </xf>
    <xf borderId="10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readingOrder="0" shrinkToFit="0" vertical="center" wrapText="0"/>
    </xf>
    <xf borderId="11" fillId="0" fontId="2" numFmtId="0" xfId="0" applyAlignment="1" applyBorder="1" applyFont="1">
      <alignment shrinkToFit="0" vertical="center" wrapText="0"/>
    </xf>
    <xf borderId="12" fillId="0" fontId="2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readingOrder="0" shrinkToFit="0" vertical="bottom" wrapText="0"/>
    </xf>
    <xf borderId="9" fillId="0" fontId="4" numFmtId="0" xfId="0" applyAlignment="1" applyBorder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5" fillId="0" fontId="4" numFmtId="164" xfId="0" applyAlignment="1" applyBorder="1" applyFont="1" applyNumberFormat="1">
      <alignment horizontal="right" readingOrder="0" shrinkToFit="0" vertical="bottom" wrapText="0"/>
    </xf>
    <xf borderId="5" fillId="0" fontId="4" numFmtId="0" xfId="0" applyAlignment="1" applyBorder="1" applyFont="1">
      <alignment horizontal="right" readingOrder="0" shrinkToFit="0" vertical="bottom" wrapText="0"/>
    </xf>
    <xf borderId="6" fillId="0" fontId="4" numFmtId="0" xfId="0" applyAlignment="1" applyBorder="1" applyFont="1">
      <alignment readingOrder="0" shrinkToFit="0" vertical="bottom" wrapText="0"/>
    </xf>
    <xf borderId="5" fillId="0" fontId="2" numFmtId="165" xfId="0" applyAlignment="1" applyBorder="1" applyFont="1" applyNumberFormat="1">
      <alignment horizontal="right" readingOrder="0" shrinkToFit="0" vertical="center" wrapText="0"/>
    </xf>
    <xf borderId="0" fillId="0" fontId="5" numFmtId="0" xfId="0" applyAlignment="1" applyFont="1">
      <alignment readingOrder="0" shrinkToFit="0" vertical="bottom" wrapText="0"/>
    </xf>
    <xf borderId="5" fillId="0" fontId="5" numFmtId="164" xfId="0" applyAlignment="1" applyBorder="1" applyFont="1" applyNumberFormat="1">
      <alignment horizontal="right" readingOrder="0" shrinkToFit="0" vertical="bottom" wrapText="0"/>
    </xf>
    <xf borderId="5" fillId="0" fontId="5" numFmtId="0" xfId="0" applyAlignment="1" applyBorder="1" applyFont="1">
      <alignment horizontal="right" readingOrder="0" shrinkToFit="0" vertical="bottom" wrapText="0"/>
    </xf>
    <xf borderId="5" fillId="0" fontId="5" numFmtId="0" xfId="0" applyAlignment="1" applyBorder="1" applyFont="1">
      <alignment readingOrder="0" shrinkToFit="0" vertical="bottom" wrapText="0"/>
    </xf>
    <xf quotePrefix="1" borderId="6" fillId="0" fontId="5" numFmtId="0" xfId="0" applyAlignment="1" applyBorder="1" applyFont="1">
      <alignment readingOrder="0" shrinkToFit="0" vertical="bottom" wrapText="0"/>
    </xf>
    <xf borderId="0" fillId="0" fontId="5" numFmtId="164" xfId="0" applyAlignment="1" applyFont="1" applyNumberFormat="1">
      <alignment horizontal="right" readingOrder="0" shrinkToFit="0" vertical="bottom" wrapText="0"/>
    </xf>
    <xf borderId="0" fillId="0" fontId="5" numFmtId="168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center" wrapText="0"/>
    </xf>
    <xf borderId="10" fillId="0" fontId="2" numFmtId="49" xfId="0" applyAlignment="1" applyBorder="1" applyFont="1" applyNumberFormat="1">
      <alignment readingOrder="0" shrinkToFit="0" vertical="center" wrapText="0"/>
    </xf>
    <xf borderId="8" fillId="0" fontId="3" numFmtId="0" xfId="0" applyAlignment="1" applyBorder="1" applyFont="1">
      <alignment vertical="center"/>
    </xf>
    <xf borderId="9" fillId="0" fontId="2" numFmtId="49" xfId="0" applyAlignment="1" applyBorder="1" applyFont="1" applyNumberFormat="1">
      <alignment readingOrder="0" shrinkToFit="0" vertical="center" wrapText="0"/>
    </xf>
    <xf borderId="0" fillId="0" fontId="5" numFmtId="166" xfId="0" applyAlignment="1" applyFont="1" applyNumberFormat="1">
      <alignment horizontal="right" readingOrder="0" shrinkToFit="0" vertical="bottom" wrapText="0"/>
    </xf>
    <xf borderId="0" fillId="0" fontId="2" numFmtId="167" xfId="0" applyAlignment="1" applyFont="1" applyNumberFormat="1">
      <alignment readingOrder="0" shrinkToFit="0" vertical="center" wrapText="0"/>
    </xf>
    <xf borderId="13" fillId="0" fontId="2" numFmtId="0" xfId="0" applyAlignment="1" applyBorder="1" applyFont="1">
      <alignment readingOrder="0" shrinkToFit="0" vertical="center" wrapText="0"/>
    </xf>
    <xf borderId="11" fillId="0" fontId="3" numFmtId="0" xfId="0" applyAlignment="1" applyBorder="1" applyFont="1">
      <alignment vertical="center"/>
    </xf>
    <xf borderId="12" fillId="0" fontId="5" numFmtId="164" xfId="0" applyAlignment="1" applyBorder="1" applyFont="1" applyNumberFormat="1">
      <alignment horizontal="right" readingOrder="0" shrinkToFit="0" vertical="bottom" wrapText="0"/>
    </xf>
    <xf borderId="12" fillId="0" fontId="3" numFmtId="0" xfId="0" applyAlignment="1" applyBorder="1" applyFont="1">
      <alignment vertical="center"/>
    </xf>
    <xf borderId="12" fillId="0" fontId="2" numFmtId="0" xfId="0" applyAlignment="1" applyBorder="1" applyFont="1">
      <alignment readingOrder="0" shrinkToFit="0" vertical="center" wrapText="0"/>
    </xf>
    <xf borderId="5" fillId="0" fontId="6" numFmtId="0" xfId="0" applyAlignment="1" applyBorder="1" applyFont="1">
      <alignment readingOrder="0" shrinkToFit="0" vertical="bottom" wrapText="0"/>
    </xf>
    <xf borderId="9" fillId="0" fontId="2" numFmtId="0" xfId="0" applyAlignment="1" applyBorder="1" applyFont="1">
      <alignment readingOrder="0" shrinkToFit="0" vertical="center" wrapText="0"/>
    </xf>
    <xf borderId="6" fillId="0" fontId="2" numFmtId="0" xfId="0" applyAlignment="1" applyBorder="1" applyFont="1">
      <alignment readingOrder="0" shrinkToFit="0" vertical="center" wrapText="0"/>
    </xf>
    <xf borderId="6" fillId="0" fontId="5" numFmtId="0" xfId="0" applyAlignment="1" applyBorder="1" applyFont="1">
      <alignment readingOrder="0" shrinkToFit="0" vertical="bottom" wrapText="0"/>
    </xf>
    <xf borderId="0" fillId="0" fontId="7" numFmtId="0" xfId="0" applyAlignment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8" numFmtId="0" xfId="0" applyAlignment="1" applyFont="1">
      <alignment horizontal="left"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11" fillId="0" fontId="9" numFmtId="0" xfId="0" applyAlignment="1" applyBorder="1" applyFont="1">
      <alignment readingOrder="0" shrinkToFit="0" vertical="center" wrapText="0"/>
    </xf>
    <xf borderId="5" fillId="0" fontId="2" numFmtId="10" xfId="0" applyAlignment="1" applyBorder="1" applyFont="1" applyNumberFormat="1">
      <alignment shrinkToFit="0" vertical="center" wrapText="0"/>
    </xf>
    <xf borderId="0" fillId="0" fontId="10" numFmtId="0" xfId="0" applyAlignment="1" applyFont="1">
      <alignment vertical="center"/>
    </xf>
    <xf borderId="11" fillId="0" fontId="7" numFmtId="0" xfId="0" applyAlignment="1" applyBorder="1" applyFont="1">
      <alignment shrinkToFit="0" vertical="center" wrapText="0"/>
    </xf>
    <xf borderId="10" fillId="0" fontId="7" numFmtId="0" xfId="0" applyAlignment="1" applyBorder="1" applyFont="1">
      <alignment shrinkToFit="0" vertical="center" wrapText="0"/>
    </xf>
    <xf borderId="12" fillId="0" fontId="7" numFmtId="0" xfId="0" applyAlignment="1" applyBorder="1" applyFont="1">
      <alignment shrinkToFit="0" vertical="center" wrapText="0"/>
    </xf>
    <xf borderId="5" fillId="0" fontId="7" numFmtId="0" xfId="0" applyAlignment="1" applyBorder="1" applyFont="1">
      <alignment shrinkToFit="0" vertical="center" wrapText="0"/>
    </xf>
    <xf borderId="6" fillId="0" fontId="7" numFmtId="0" xfId="0" applyAlignment="1" applyBorder="1" applyFont="1">
      <alignment shrinkToFit="0" vertical="center" wrapText="0"/>
    </xf>
    <xf borderId="14" fillId="0" fontId="2" numFmtId="0" xfId="0" applyAlignment="1" applyBorder="1" applyFont="1">
      <alignment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5" fillId="0" fontId="2" numFmtId="0" xfId="0" applyAlignment="1" applyBorder="1" applyFont="1">
      <alignment vertical="center"/>
    </xf>
    <xf borderId="5" fillId="0" fontId="10" numFmtId="0" xfId="0" applyAlignment="1" applyBorder="1" applyFont="1">
      <alignment vertical="center"/>
    </xf>
    <xf borderId="4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0" fillId="0" fontId="2" numFmtId="0" xfId="0" applyAlignment="1" applyBorder="1" applyFont="1">
      <alignment vertical="center"/>
    </xf>
    <xf borderId="5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6" fillId="0" fontId="10" numFmtId="0" xfId="0" applyAlignment="1" applyBorder="1" applyFont="1">
      <alignment vertical="center"/>
    </xf>
    <xf borderId="0" fillId="0" fontId="2" numFmtId="0" xfId="0" applyAlignment="1" applyFont="1">
      <alignment readingOrder="0" vertical="center"/>
    </xf>
    <xf borderId="10" fillId="0" fontId="10" numFmtId="0" xfId="0" applyAlignment="1" applyBorder="1" applyFont="1">
      <alignment vertical="center"/>
    </xf>
    <xf borderId="5" fillId="0" fontId="2" numFmtId="0" xfId="0" applyAlignment="1" applyBorder="1" applyFont="1">
      <alignment horizontal="right" vertical="center"/>
    </xf>
    <xf borderId="5" fillId="0" fontId="10" numFmtId="0" xfId="0" applyAlignment="1" applyBorder="1" applyFont="1">
      <alignment readingOrder="0" vertical="center"/>
    </xf>
    <xf borderId="0" fillId="0" fontId="2" numFmtId="0" xfId="0" applyAlignment="1" applyFont="1">
      <alignment horizontal="right" vertical="center"/>
    </xf>
    <xf borderId="0" fillId="0" fontId="8" numFmtId="0" xfId="0" applyAlignment="1" applyFont="1">
      <alignment horizontal="right" vertical="center"/>
    </xf>
    <xf borderId="0" fillId="0" fontId="10" numFmtId="0" xfId="0" applyAlignment="1" applyFont="1">
      <alignment readingOrder="0" vertical="center"/>
    </xf>
    <xf borderId="11" fillId="0" fontId="2" numFmtId="0" xfId="0" applyAlignment="1" applyBorder="1" applyFont="1">
      <alignment vertical="center"/>
    </xf>
    <xf borderId="11" fillId="0" fontId="10" numFmtId="0" xfId="0" applyAlignment="1" applyBorder="1" applyFont="1">
      <alignment vertical="center"/>
    </xf>
    <xf borderId="12" fillId="0" fontId="10" numFmtId="0" xfId="0" applyAlignment="1" applyBorder="1" applyFont="1">
      <alignment vertical="center"/>
    </xf>
    <xf borderId="2" fillId="0" fontId="2" numFmtId="0" xfId="0" applyAlignment="1" applyBorder="1" applyFont="1">
      <alignment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0" fillId="0" fontId="4" numFmtId="166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0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shrinkToFit="0" vertical="center" wrapText="0"/>
    </xf>
    <xf borderId="4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0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right"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6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10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5" fillId="0" fontId="2" numFmtId="9" xfId="0" applyAlignment="1" applyBorder="1" applyFont="1" applyNumberFormat="1">
      <alignment readingOrder="0" shrinkToFit="0" vertical="center" wrapText="0"/>
    </xf>
    <xf borderId="0" fillId="0" fontId="2" numFmtId="166" xfId="0" applyAlignment="1" applyFont="1" applyNumberFormat="1">
      <alignment horizontal="right"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5" fillId="0" fontId="2" numFmtId="9" xfId="0" applyAlignment="1" applyBorder="1" applyFont="1" applyNumberFormat="1">
      <alignment horizontal="right" readingOrder="0" shrinkToFit="0" vertical="center" wrapText="0"/>
    </xf>
    <xf borderId="5" fillId="0" fontId="2" numFmtId="10" xfId="0" applyAlignment="1" applyBorder="1" applyFont="1" applyNumberFormat="1">
      <alignment readingOrder="0" shrinkToFit="0" vertical="center" wrapText="0"/>
    </xf>
    <xf borderId="0" fillId="0" fontId="2" numFmtId="10" xfId="0" applyAlignment="1" applyFont="1" applyNumberFormat="1">
      <alignment horizontal="right" readingOrder="0" shrinkToFit="0" vertical="center" wrapText="0"/>
    </xf>
    <xf borderId="2" fillId="0" fontId="3" numFmtId="0" xfId="0" applyAlignment="1" applyBorder="1" applyFont="1">
      <alignment vertical="center"/>
    </xf>
    <xf borderId="11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9" fillId="0" fontId="3" numFmtId="0" xfId="0" applyAlignment="1" applyBorder="1" applyFont="1">
      <alignment vertical="center"/>
    </xf>
    <xf borderId="5" fillId="0" fontId="2" numFmtId="10" xfId="0" applyAlignment="1" applyBorder="1" applyFont="1" applyNumberFormat="1">
      <alignment horizontal="right" readingOrder="0" shrinkToFit="0" vertical="center" wrapText="0"/>
    </xf>
    <xf borderId="10" fillId="0" fontId="3" numFmtId="0" xfId="0" applyAlignment="1" applyBorder="1" applyFont="1">
      <alignment vertical="center"/>
    </xf>
    <xf borderId="15" fillId="0" fontId="2" numFmtId="0" xfId="0" applyAlignment="1" applyBorder="1" applyFont="1">
      <alignment readingOrder="0"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readingOrder="0" shrinkToFit="0" vertical="center" wrapText="0"/>
    </xf>
    <xf borderId="19" fillId="0" fontId="2" numFmtId="0" xfId="0" applyAlignment="1" applyBorder="1" applyFont="1">
      <alignment readingOrder="0" shrinkToFit="0" vertical="center" wrapText="0"/>
    </xf>
    <xf borderId="18" fillId="0" fontId="3" numFmtId="0" xfId="0" applyAlignment="1" applyBorder="1" applyFont="1">
      <alignment vertical="center"/>
    </xf>
    <xf quotePrefix="1" borderId="19" fillId="0" fontId="2" numFmtId="0" xfId="0" applyAlignment="1" applyBorder="1" applyFont="1">
      <alignment readingOrder="0" shrinkToFit="0" vertical="center" wrapText="0"/>
    </xf>
    <xf borderId="20" fillId="0" fontId="3" numFmtId="0" xfId="0" applyAlignment="1" applyBorder="1" applyFont="1">
      <alignment vertical="center"/>
    </xf>
    <xf borderId="21" fillId="0" fontId="3" numFmtId="0" xfId="0" applyAlignment="1" applyBorder="1" applyFont="1">
      <alignment vertical="center"/>
    </xf>
    <xf borderId="19" fillId="0" fontId="2" numFmtId="0" xfId="0" applyAlignment="1" applyBorder="1" applyFont="1">
      <alignment shrinkToFit="0" vertical="center" wrapText="0"/>
    </xf>
    <xf borderId="22" fillId="0" fontId="2" numFmtId="0" xfId="0" applyAlignment="1" applyBorder="1" applyFont="1">
      <alignment shrinkToFit="0" vertical="center" wrapText="0"/>
    </xf>
    <xf borderId="23" fillId="0" fontId="2" numFmtId="0" xfId="0" applyAlignment="1" applyBorder="1" applyFont="1">
      <alignment readingOrder="0" shrinkToFit="0" vertical="center" wrapText="0"/>
    </xf>
    <xf borderId="19" fillId="0" fontId="3" numFmtId="0" xfId="0" applyAlignment="1" applyBorder="1" applyFont="1">
      <alignment vertical="center"/>
    </xf>
    <xf borderId="23" fillId="0" fontId="2" numFmtId="0" xfId="0" applyAlignment="1" applyBorder="1" applyFont="1">
      <alignment shrinkToFit="0" vertical="center" wrapText="0"/>
    </xf>
    <xf borderId="24" fillId="0" fontId="2" numFmtId="0" xfId="0" applyAlignment="1" applyBorder="1" applyFont="1">
      <alignment shrinkToFit="0" vertical="center" wrapText="0"/>
    </xf>
    <xf borderId="25" fillId="0" fontId="2" numFmtId="0" xfId="0" applyAlignment="1" applyBorder="1" applyFont="1">
      <alignment shrinkToFit="0" vertical="center" wrapText="0"/>
    </xf>
    <xf borderId="26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9" xfId="0" applyAlignment="1" applyFont="1" applyNumberFormat="1">
      <alignment horizontal="right"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23" fillId="0" fontId="3" numFmtId="0" xfId="0" applyAlignment="1" applyBorder="1" applyFont="1">
      <alignment vertical="center"/>
    </xf>
    <xf borderId="0" fillId="0" fontId="11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horizontal="right" readingOrder="0" shrinkToFit="0" vertical="center" wrapText="0"/>
    </xf>
    <xf borderId="0" fillId="0" fontId="4" numFmtId="49" xfId="0" applyAlignment="1" applyFont="1" applyNumberFormat="1">
      <alignment readingOrder="0" shrinkToFit="0" vertical="center" wrapText="0"/>
    </xf>
    <xf borderId="19" fillId="0" fontId="2" numFmtId="0" xfId="0" applyAlignment="1" applyBorder="1" applyFont="1">
      <alignment readingOrder="0" shrinkToFit="0" vertical="center" wrapText="0"/>
    </xf>
    <xf borderId="27" fillId="0" fontId="2" numFmtId="0" xfId="0" applyAlignment="1" applyBorder="1" applyFont="1">
      <alignment readingOrder="0" shrinkToFit="0" vertical="center" wrapText="0"/>
    </xf>
    <xf borderId="28" fillId="0" fontId="2" numFmtId="0" xfId="0" applyAlignment="1" applyBorder="1" applyFont="1">
      <alignment shrinkToFit="0" vertical="center" wrapText="0"/>
    </xf>
    <xf borderId="29" fillId="0" fontId="2" numFmtId="0" xfId="0" applyAlignment="1" applyBorder="1" applyFont="1">
      <alignment shrinkToFit="0" vertical="center" wrapText="0"/>
    </xf>
    <xf borderId="30" fillId="0" fontId="2" numFmtId="0" xfId="0" applyAlignment="1" applyBorder="1" applyFont="1">
      <alignment horizontal="center" shrinkToFit="0" vertical="center" wrapText="0"/>
    </xf>
    <xf borderId="31" fillId="0" fontId="2" numFmtId="0" xfId="0" applyAlignment="1" applyBorder="1" applyFont="1">
      <alignment shrinkToFit="0" vertical="center" wrapText="0"/>
    </xf>
    <xf borderId="32" fillId="0" fontId="2" numFmtId="0" xfId="0" applyAlignment="1" applyBorder="1" applyFont="1">
      <alignment shrinkToFit="0" vertical="center" wrapText="0"/>
    </xf>
    <xf borderId="33" fillId="0" fontId="3" numFmtId="0" xfId="0" applyAlignment="1" applyBorder="1" applyFont="1">
      <alignment vertical="center"/>
    </xf>
    <xf borderId="0" fillId="0" fontId="2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readingOrder="0" shrinkToFit="0" vertical="center" wrapText="0"/>
    </xf>
    <xf borderId="34" fillId="0" fontId="2" numFmtId="0" xfId="0" applyAlignment="1" applyBorder="1" applyFont="1">
      <alignment readingOrder="0" shrinkToFit="0" vertical="center" wrapText="0"/>
    </xf>
    <xf borderId="35" fillId="0" fontId="3" numFmtId="0" xfId="0" applyAlignment="1" applyBorder="1" applyFont="1">
      <alignment vertical="center"/>
    </xf>
    <xf borderId="27" fillId="0" fontId="2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readingOrder="0" vertical="center"/>
    </xf>
    <xf borderId="30" fillId="0" fontId="2" numFmtId="0" xfId="0" applyAlignment="1" applyBorder="1" applyFont="1">
      <alignment horizontal="center" readingOrder="0" shrinkToFit="0" vertical="center" wrapText="0"/>
    </xf>
    <xf borderId="31" fillId="0" fontId="2" numFmtId="0" xfId="0" applyAlignment="1" applyBorder="1" applyFont="1">
      <alignment readingOrder="0" shrinkToFit="0" vertical="center" wrapText="0"/>
    </xf>
    <xf borderId="36" fillId="0" fontId="2" numFmtId="0" xfId="0" applyAlignment="1" applyBorder="1" applyFont="1">
      <alignment shrinkToFit="0" vertical="center" wrapText="0"/>
    </xf>
    <xf borderId="36" fillId="0" fontId="2" numFmtId="14" xfId="0" applyAlignment="1" applyBorder="1" applyFont="1" applyNumberFormat="1">
      <alignment shrinkToFit="0" vertical="center" wrapText="0"/>
    </xf>
    <xf borderId="36" fillId="0" fontId="2" numFmtId="0" xfId="0" applyAlignment="1" applyBorder="1" applyFont="1">
      <alignment readingOrder="0" shrinkToFit="0" vertical="center" wrapText="0"/>
    </xf>
    <xf borderId="37" fillId="0" fontId="2" numFmtId="0" xfId="0" applyAlignment="1" applyBorder="1" applyFon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9" xfId="0" applyAlignment="1" applyFont="1" applyNumberFormat="1">
      <alignment readingOrder="0" shrinkToFit="0" vertical="center" wrapText="0"/>
    </xf>
    <xf borderId="34" fillId="0" fontId="2" numFmtId="0" xfId="0" applyAlignment="1" applyBorder="1" applyFont="1">
      <alignment shrinkToFit="0" vertical="center" wrapText="0"/>
    </xf>
    <xf borderId="36" fillId="0" fontId="2" numFmtId="9" xfId="0" applyAlignment="1" applyBorder="1" applyFont="1" applyNumberFormat="1">
      <alignment shrinkToFit="0" vertical="center" wrapText="0"/>
    </xf>
    <xf borderId="36" fillId="0" fontId="2" numFmtId="9" xfId="0" applyAlignment="1" applyBorder="1" applyFont="1" applyNumberFormat="1">
      <alignment readingOrder="0" shrinkToFit="0" vertical="center" wrapText="0"/>
    </xf>
    <xf borderId="36" fillId="0" fontId="2" numFmtId="10" xfId="0" applyAlignment="1" applyBorder="1" applyFont="1" applyNumberFormat="1">
      <alignment shrinkToFit="0" vertical="center" wrapText="0"/>
    </xf>
    <xf borderId="38" fillId="0" fontId="8" numFmtId="0" xfId="0" applyAlignment="1" applyBorder="1" applyFont="1">
      <alignment shrinkToFit="0" vertical="center" wrapText="0"/>
    </xf>
    <xf borderId="38" fillId="0" fontId="2" numFmtId="0" xfId="0" applyAlignment="1" applyBorder="1" applyFont="1">
      <alignment readingOrder="0" shrinkToFit="0" vertical="center" wrapText="0"/>
    </xf>
    <xf borderId="34" fillId="0" fontId="3" numFmtId="0" xfId="0" applyAlignment="1" applyBorder="1" applyFont="1">
      <alignment vertical="center"/>
    </xf>
    <xf borderId="38" fillId="0" fontId="2" numFmtId="0" xfId="0" applyAlignment="1" applyBorder="1" applyFont="1">
      <alignment shrinkToFit="0" vertical="center" wrapText="0"/>
    </xf>
    <xf borderId="39" fillId="0" fontId="2" numFmtId="0" xfId="0" applyAlignment="1" applyBorder="1" applyFont="1">
      <alignment shrinkToFit="0" vertical="center" wrapText="0"/>
    </xf>
    <xf borderId="0" fillId="2" fontId="2" numFmtId="0" xfId="0" applyAlignment="1" applyFill="1" applyFont="1">
      <alignment horizontal="left" readingOrder="0" vertical="center"/>
    </xf>
    <xf borderId="5" fillId="0" fontId="2" numFmtId="166" xfId="0" applyAlignment="1" applyBorder="1" applyFont="1" applyNumberFormat="1">
      <alignment horizontal="right"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7" fillId="0" fontId="2" numFmtId="0" xfId="0" applyAlignment="1" applyBorder="1" applyFont="1">
      <alignment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5" fillId="0" fontId="2" numFmtId="0" xfId="0" applyAlignment="1" applyBorder="1" applyFont="1">
      <alignment shrinkToFit="0" vertical="center" wrapText="0"/>
    </xf>
    <xf borderId="5" fillId="0" fontId="2" numFmtId="0" xfId="0" applyAlignment="1" applyBorder="1" applyFon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>
        <v>43851.0</v>
      </c>
      <c r="C3" s="7">
        <v>43932.0</v>
      </c>
      <c r="D3" s="8"/>
      <c r="E3" s="9" t="s">
        <v>9</v>
      </c>
      <c r="F3" s="10" t="s">
        <v>10</v>
      </c>
      <c r="G3" s="10" t="s">
        <v>11</v>
      </c>
      <c r="H3" s="11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/>
      <c r="B4" s="13" t="s">
        <v>13</v>
      </c>
      <c r="C4" s="14"/>
      <c r="D4" s="13"/>
      <c r="E4" s="13"/>
      <c r="F4" s="13"/>
      <c r="G4" s="15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14</v>
      </c>
      <c r="B5" s="4" t="s">
        <v>15</v>
      </c>
      <c r="C5" s="4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20">
        <v>45017.0</v>
      </c>
      <c r="C6" s="8"/>
      <c r="D6" s="8"/>
      <c r="E6" s="8"/>
      <c r="F6" s="8"/>
      <c r="G6" s="8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22">
        <v>44774.0</v>
      </c>
      <c r="C8" s="8"/>
      <c r="D8" s="8"/>
      <c r="E8" s="8"/>
      <c r="F8" s="8"/>
      <c r="G8" s="8"/>
      <c r="H8" s="21"/>
      <c r="I8" s="2"/>
      <c r="J8" s="2"/>
      <c r="K8" s="2"/>
      <c r="T8" s="2"/>
      <c r="U8" s="2"/>
      <c r="V8" s="2"/>
      <c r="W8" s="2"/>
      <c r="X8" s="2"/>
      <c r="Y8" s="2"/>
      <c r="Z8" s="2"/>
    </row>
    <row r="9">
      <c r="A9" s="17" t="s">
        <v>28</v>
      </c>
      <c r="B9" s="23"/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24" t="s">
        <v>20</v>
      </c>
      <c r="I9" s="2"/>
      <c r="J9" s="2"/>
      <c r="K9" s="2"/>
      <c r="T9" s="2"/>
      <c r="U9" s="2"/>
      <c r="V9" s="2"/>
      <c r="W9" s="2"/>
      <c r="X9" s="2"/>
      <c r="Y9" s="2"/>
      <c r="Z9" s="2"/>
    </row>
    <row r="10">
      <c r="A10" s="6"/>
      <c r="B10" s="18" t="s">
        <v>29</v>
      </c>
      <c r="C10" s="18">
        <v>57.8</v>
      </c>
      <c r="D10" s="23"/>
      <c r="E10" s="23"/>
      <c r="F10" s="23"/>
      <c r="G10" s="23"/>
      <c r="H10" s="19"/>
      <c r="I10" s="2"/>
      <c r="J10" s="2"/>
      <c r="K10" s="2"/>
      <c r="T10" s="2"/>
      <c r="U10" s="2"/>
      <c r="V10" s="2"/>
      <c r="W10" s="2"/>
      <c r="X10" s="2"/>
      <c r="Y10" s="2"/>
      <c r="Z10" s="2"/>
    </row>
    <row r="11">
      <c r="A11" s="6"/>
      <c r="B11" s="18" t="s">
        <v>30</v>
      </c>
      <c r="C11" s="18"/>
      <c r="D11" s="23"/>
      <c r="E11" s="23"/>
      <c r="F11" s="23"/>
      <c r="G11" s="23"/>
      <c r="H11" s="19"/>
      <c r="I11" s="2"/>
      <c r="J11" s="2"/>
      <c r="K11" s="2"/>
      <c r="T11" s="2"/>
      <c r="U11" s="2"/>
      <c r="V11" s="2"/>
      <c r="W11" s="2"/>
      <c r="X11" s="2"/>
      <c r="Y11" s="2"/>
      <c r="Z11" s="2"/>
    </row>
    <row r="12">
      <c r="A12" s="6"/>
      <c r="B12" s="18" t="s">
        <v>31</v>
      </c>
      <c r="C12" s="18"/>
      <c r="D12" s="23"/>
      <c r="E12" s="23"/>
      <c r="F12" s="2"/>
      <c r="G12" s="23"/>
      <c r="H12" s="19"/>
      <c r="I12" s="2"/>
      <c r="J12" s="2"/>
      <c r="K12" s="2"/>
      <c r="T12" s="2"/>
      <c r="U12" s="2"/>
      <c r="V12" s="2"/>
      <c r="W12" s="2"/>
      <c r="X12" s="2"/>
      <c r="Y12" s="2"/>
      <c r="Z12" s="2"/>
    </row>
    <row r="13">
      <c r="A13" s="12"/>
      <c r="B13" s="9" t="s">
        <v>32</v>
      </c>
      <c r="C13" s="9"/>
      <c r="D13" s="8"/>
      <c r="E13" s="8"/>
      <c r="F13" s="8"/>
      <c r="G13" s="8"/>
      <c r="H13" s="21"/>
      <c r="I13" s="2"/>
      <c r="J13" s="2"/>
      <c r="K13" s="2"/>
      <c r="T13" s="2"/>
      <c r="U13" s="2"/>
      <c r="V13" s="2"/>
      <c r="W13" s="2"/>
      <c r="X13" s="2"/>
      <c r="Y13" s="2"/>
      <c r="Z13" s="2"/>
    </row>
    <row r="14">
      <c r="A14" s="25" t="s">
        <v>33</v>
      </c>
      <c r="C14" s="23"/>
      <c r="D14" s="23"/>
      <c r="E14" s="23"/>
      <c r="F14" s="23"/>
      <c r="G14" s="23"/>
      <c r="H14" s="19"/>
      <c r="I14" s="2"/>
      <c r="J14" s="2"/>
      <c r="K14" s="2"/>
      <c r="T14" s="2"/>
      <c r="U14" s="2"/>
      <c r="V14" s="2"/>
      <c r="W14" s="2"/>
      <c r="X14" s="2"/>
      <c r="Y14" s="2"/>
      <c r="Z14" s="2"/>
    </row>
    <row r="15">
      <c r="A15" s="26"/>
      <c r="B15" s="23"/>
      <c r="C15" s="23"/>
      <c r="D15" s="23"/>
      <c r="E15" s="23"/>
      <c r="F15" s="23"/>
      <c r="G15" s="23"/>
      <c r="H15" s="19"/>
      <c r="I15" s="2"/>
      <c r="J15" s="2"/>
      <c r="K15" s="2"/>
      <c r="T15" s="2"/>
      <c r="U15" s="2"/>
      <c r="V15" s="2"/>
      <c r="W15" s="2"/>
      <c r="X15" s="2"/>
      <c r="Y15" s="2"/>
      <c r="Z15" s="2"/>
    </row>
    <row r="16">
      <c r="A16" s="26"/>
      <c r="B16" s="23"/>
      <c r="C16" s="23"/>
      <c r="D16" s="23"/>
      <c r="E16" s="23"/>
      <c r="F16" s="23"/>
      <c r="G16" s="23"/>
      <c r="H16" s="19"/>
      <c r="I16" s="2"/>
      <c r="J16" s="2"/>
      <c r="K16" s="2"/>
      <c r="T16" s="2"/>
      <c r="U16" s="2"/>
      <c r="V16" s="2"/>
      <c r="W16" s="2"/>
      <c r="X16" s="2"/>
      <c r="Y16" s="2"/>
      <c r="Z16" s="2"/>
    </row>
    <row r="17">
      <c r="A17" s="26"/>
      <c r="B17" s="23"/>
      <c r="C17" s="23"/>
      <c r="D17" s="23"/>
      <c r="E17" s="23"/>
      <c r="F17" s="23"/>
      <c r="G17" s="23"/>
      <c r="H17" s="19"/>
      <c r="I17" s="2"/>
      <c r="J17" s="2"/>
      <c r="K17" s="2"/>
      <c r="T17" s="2"/>
      <c r="U17" s="2"/>
      <c r="V17" s="2"/>
      <c r="W17" s="2"/>
      <c r="X17" s="2"/>
      <c r="Y17" s="2"/>
      <c r="Z17" s="2"/>
    </row>
    <row r="18">
      <c r="A18" s="27"/>
      <c r="B18" s="8"/>
      <c r="C18" s="8"/>
      <c r="D18" s="8"/>
      <c r="E18" s="8"/>
      <c r="F18" s="8"/>
      <c r="G18" s="8"/>
      <c r="H18" s="21"/>
      <c r="I18" s="2"/>
      <c r="J18" s="2"/>
      <c r="K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T20" s="2"/>
      <c r="U20" s="2"/>
      <c r="V20" s="2"/>
      <c r="W20" s="2"/>
      <c r="X20" s="2"/>
      <c r="Y20" s="2"/>
      <c r="Z20" s="2"/>
    </row>
    <row r="21">
      <c r="A21" s="1" t="s">
        <v>34</v>
      </c>
      <c r="B21" s="2"/>
      <c r="C21" s="2"/>
      <c r="D21" s="2"/>
      <c r="E21" s="2"/>
      <c r="F21" s="2"/>
      <c r="G21" s="2"/>
      <c r="H21" s="2"/>
      <c r="I21" s="2"/>
      <c r="J21" s="2"/>
      <c r="K21" s="2"/>
      <c r="T21" s="2"/>
      <c r="U21" s="2"/>
      <c r="V21" s="2"/>
      <c r="W21" s="2"/>
      <c r="X21" s="2"/>
      <c r="Y21" s="2"/>
      <c r="Z21" s="2"/>
    </row>
    <row r="22">
      <c r="A22" s="3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5" t="s">
        <v>8</v>
      </c>
      <c r="I22" s="2"/>
      <c r="J22" s="2"/>
      <c r="K22" s="2"/>
      <c r="T22" s="2"/>
      <c r="U22" s="2"/>
      <c r="V22" s="2"/>
      <c r="W22" s="2"/>
      <c r="X22" s="2"/>
      <c r="Y22" s="2"/>
      <c r="Z22" s="2"/>
    </row>
    <row r="23">
      <c r="A23" s="6"/>
      <c r="B23" s="7">
        <v>43970.0</v>
      </c>
      <c r="C23" s="28">
        <v>44122.0</v>
      </c>
      <c r="D23" s="8"/>
      <c r="E23" s="9" t="s">
        <v>35</v>
      </c>
      <c r="F23" s="10" t="s">
        <v>36</v>
      </c>
      <c r="G23" s="9" t="s">
        <v>37</v>
      </c>
      <c r="H23" s="11" t="s">
        <v>38</v>
      </c>
      <c r="I23" s="2"/>
      <c r="J23" s="2"/>
      <c r="K23" s="2"/>
      <c r="T23" s="2"/>
      <c r="U23" s="2"/>
      <c r="V23" s="2"/>
      <c r="W23" s="2"/>
      <c r="X23" s="2"/>
      <c r="Y23" s="2"/>
      <c r="Z23" s="2"/>
    </row>
    <row r="24">
      <c r="A24" s="12"/>
      <c r="B24" s="13" t="s">
        <v>13</v>
      </c>
      <c r="C24" s="14" t="s">
        <v>39</v>
      </c>
      <c r="D24" s="13"/>
      <c r="E24" s="13"/>
      <c r="F24" s="13"/>
      <c r="G24" s="15"/>
      <c r="H24" s="16"/>
      <c r="I24" s="2"/>
      <c r="J24" s="2"/>
      <c r="K24" s="2"/>
      <c r="T24" s="2"/>
      <c r="U24" s="2"/>
      <c r="V24" s="2"/>
      <c r="W24" s="2"/>
      <c r="X24" s="2"/>
      <c r="Y24" s="2"/>
      <c r="Z24" s="2"/>
    </row>
    <row r="25">
      <c r="A25" s="17" t="s">
        <v>14</v>
      </c>
      <c r="B25" s="4" t="s">
        <v>15</v>
      </c>
      <c r="C25" s="4" t="s">
        <v>16</v>
      </c>
      <c r="D25" s="18" t="s">
        <v>17</v>
      </c>
      <c r="E25" s="18" t="s">
        <v>18</v>
      </c>
      <c r="F25" s="18" t="s">
        <v>19</v>
      </c>
      <c r="G25" s="18" t="s">
        <v>20</v>
      </c>
      <c r="H25" s="19"/>
      <c r="I25" s="2"/>
      <c r="J25" s="2"/>
      <c r="K25" s="2"/>
      <c r="T25" s="2"/>
      <c r="U25" s="2"/>
      <c r="V25" s="2"/>
      <c r="W25" s="2"/>
      <c r="X25" s="2"/>
      <c r="Y25" s="2"/>
      <c r="Z25" s="2"/>
    </row>
    <row r="26">
      <c r="A26" s="12"/>
      <c r="B26" s="20">
        <v>45078.0</v>
      </c>
      <c r="C26" s="8"/>
      <c r="D26" s="8"/>
      <c r="E26" s="8"/>
      <c r="F26" s="8"/>
      <c r="G26" s="8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">
        <v>21</v>
      </c>
      <c r="B27" s="18" t="s">
        <v>22</v>
      </c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22">
        <v>44805.0</v>
      </c>
      <c r="C28" s="8"/>
      <c r="D28" s="8"/>
      <c r="E28" s="8"/>
      <c r="F28" s="8"/>
      <c r="G28" s="8"/>
      <c r="H28" s="2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 t="s">
        <v>28</v>
      </c>
      <c r="B29" s="23"/>
      <c r="C29" s="18" t="s">
        <v>15</v>
      </c>
      <c r="D29" s="18" t="s">
        <v>16</v>
      </c>
      <c r="E29" s="18" t="s">
        <v>17</v>
      </c>
      <c r="F29" s="18" t="s">
        <v>18</v>
      </c>
      <c r="G29" s="18" t="s">
        <v>19</v>
      </c>
      <c r="H29" s="24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18" t="s">
        <v>29</v>
      </c>
      <c r="C30" s="18">
        <v>91.6</v>
      </c>
      <c r="D30" s="23"/>
      <c r="E30" s="23"/>
      <c r="F30" s="23"/>
      <c r="G30" s="23"/>
      <c r="H30" s="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18" t="s">
        <v>30</v>
      </c>
      <c r="C31" s="18"/>
      <c r="D31" s="23"/>
      <c r="E31" s="23"/>
      <c r="F31" s="23"/>
      <c r="G31" s="23"/>
      <c r="H31" s="1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18" t="s">
        <v>31</v>
      </c>
      <c r="C32" s="18"/>
      <c r="D32" s="23"/>
      <c r="E32" s="23"/>
      <c r="F32" s="2"/>
      <c r="G32" s="23"/>
      <c r="H32" s="1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/>
      <c r="B33" s="9" t="s">
        <v>32</v>
      </c>
      <c r="C33" s="9"/>
      <c r="D33" s="8"/>
      <c r="E33" s="8"/>
      <c r="F33" s="8"/>
      <c r="G33" s="8"/>
      <c r="H33" s="2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5" t="s">
        <v>33</v>
      </c>
      <c r="C34" s="23"/>
      <c r="D34" s="23"/>
      <c r="E34" s="23"/>
      <c r="F34" s="23"/>
      <c r="G34" s="23"/>
      <c r="H34" s="1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6"/>
      <c r="B35" s="23"/>
      <c r="C35" s="23"/>
      <c r="D35" s="23"/>
      <c r="E35" s="23"/>
      <c r="F35" s="23"/>
      <c r="G35" s="23"/>
      <c r="H35" s="1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6"/>
      <c r="B36" s="23"/>
      <c r="C36" s="23"/>
      <c r="D36" s="23"/>
      <c r="E36" s="23"/>
      <c r="F36" s="23"/>
      <c r="G36" s="23"/>
      <c r="H36" s="1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6"/>
      <c r="B37" s="23"/>
      <c r="C37" s="23"/>
      <c r="D37" s="23"/>
      <c r="E37" s="23"/>
      <c r="F37" s="23"/>
      <c r="G37" s="23"/>
      <c r="H37" s="1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7"/>
      <c r="B38" s="8"/>
      <c r="C38" s="8"/>
      <c r="D38" s="8"/>
      <c r="E38" s="8"/>
      <c r="F38" s="8"/>
      <c r="G38" s="8"/>
      <c r="H38" s="2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</sheetData>
  <mergeCells count="10">
    <mergeCell ref="A27:A28"/>
    <mergeCell ref="A29:A33"/>
    <mergeCell ref="A34:B34"/>
    <mergeCell ref="A2:A4"/>
    <mergeCell ref="A5:A6"/>
    <mergeCell ref="A7:A8"/>
    <mergeCell ref="A9:A13"/>
    <mergeCell ref="A14:B14"/>
    <mergeCell ref="A22:A24"/>
    <mergeCell ref="A25:A2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4" t="s">
        <v>40</v>
      </c>
      <c r="B1" s="23"/>
      <c r="C1" s="23"/>
      <c r="D1" s="23"/>
      <c r="E1" s="23"/>
      <c r="F1" s="23"/>
      <c r="G1" s="23"/>
      <c r="H1" s="2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>
        <v>43460.0</v>
      </c>
      <c r="C3" s="22">
        <v>43556.0</v>
      </c>
      <c r="D3" s="8"/>
      <c r="E3" s="9" t="s">
        <v>41</v>
      </c>
      <c r="F3" s="10" t="s">
        <v>42</v>
      </c>
      <c r="G3" s="10" t="s">
        <v>43</v>
      </c>
      <c r="H3" s="11" t="s">
        <v>44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/>
      <c r="B4" s="13" t="s">
        <v>13</v>
      </c>
      <c r="C4" s="14" t="s">
        <v>45</v>
      </c>
      <c r="D4" s="13"/>
      <c r="E4" s="13"/>
      <c r="F4" s="13"/>
      <c r="G4" s="15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14</v>
      </c>
      <c r="B5" s="4" t="s">
        <v>15</v>
      </c>
      <c r="C5" s="4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20">
        <v>44256.0</v>
      </c>
      <c r="C6" s="8"/>
      <c r="D6" s="8"/>
      <c r="E6" s="8"/>
      <c r="F6" s="8"/>
      <c r="G6" s="8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22">
        <v>44805.0</v>
      </c>
      <c r="C8" s="8"/>
      <c r="D8" s="8"/>
      <c r="E8" s="8"/>
      <c r="F8" s="8"/>
      <c r="G8" s="8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28</v>
      </c>
      <c r="B9" s="23"/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24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18" t="s">
        <v>29</v>
      </c>
      <c r="C10" s="18">
        <v>80.7</v>
      </c>
      <c r="D10" s="23"/>
      <c r="E10" s="23"/>
      <c r="F10" s="23"/>
      <c r="G10" s="23"/>
      <c r="H10" s="1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18" t="s">
        <v>30</v>
      </c>
      <c r="C11" s="18">
        <v>95.7</v>
      </c>
      <c r="D11" s="23"/>
      <c r="E11" s="23"/>
      <c r="F11" s="23"/>
      <c r="G11" s="23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18" t="s">
        <v>31</v>
      </c>
      <c r="C12" s="18"/>
      <c r="D12" s="23"/>
      <c r="E12" s="23"/>
      <c r="F12" s="2"/>
      <c r="G12" s="23"/>
      <c r="H12" s="1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9" t="s">
        <v>32</v>
      </c>
      <c r="C13" s="9"/>
      <c r="D13" s="8"/>
      <c r="E13" s="8"/>
      <c r="F13" s="8"/>
      <c r="G13" s="8"/>
      <c r="H13" s="2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5" t="s">
        <v>33</v>
      </c>
      <c r="C14" s="23"/>
      <c r="D14" s="23"/>
      <c r="E14" s="23"/>
      <c r="F14" s="23"/>
      <c r="G14" s="23"/>
      <c r="H14" s="1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6"/>
      <c r="B15" s="23"/>
      <c r="C15" s="23"/>
      <c r="D15" s="23"/>
      <c r="E15" s="23"/>
      <c r="F15" s="23"/>
      <c r="G15" s="23"/>
      <c r="H15" s="1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6"/>
      <c r="B16" s="23"/>
      <c r="C16" s="23"/>
      <c r="D16" s="23"/>
      <c r="E16" s="23"/>
      <c r="F16" s="23"/>
      <c r="G16" s="23"/>
      <c r="H16" s="1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6"/>
      <c r="B17" s="23"/>
      <c r="C17" s="23"/>
      <c r="D17" s="23"/>
      <c r="E17" s="23"/>
      <c r="F17" s="23"/>
      <c r="G17" s="23"/>
      <c r="H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9"/>
      <c r="B18" s="8"/>
      <c r="C18" s="8"/>
      <c r="D18" s="8"/>
      <c r="E18" s="8"/>
      <c r="F18" s="8"/>
      <c r="G18" s="8"/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46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5" t="s">
        <v>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7">
        <v>43569.0</v>
      </c>
      <c r="C23" s="28">
        <v>43758.0</v>
      </c>
      <c r="D23" s="8"/>
      <c r="E23" s="9" t="s">
        <v>47</v>
      </c>
      <c r="F23" s="10" t="s">
        <v>48</v>
      </c>
      <c r="G23" s="10" t="s">
        <v>49</v>
      </c>
      <c r="H23" s="11" t="s">
        <v>50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/>
      <c r="B24" s="13" t="s">
        <v>13</v>
      </c>
      <c r="C24" s="14"/>
      <c r="D24" s="13"/>
      <c r="E24" s="13"/>
      <c r="F24" s="13"/>
      <c r="G24" s="15"/>
      <c r="H24" s="1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14</v>
      </c>
      <c r="B25" s="4" t="s">
        <v>15</v>
      </c>
      <c r="C25" s="4" t="s">
        <v>16</v>
      </c>
      <c r="D25" s="18" t="s">
        <v>17</v>
      </c>
      <c r="E25" s="18" t="s">
        <v>18</v>
      </c>
      <c r="F25" s="18" t="s">
        <v>19</v>
      </c>
      <c r="G25" s="18" t="s">
        <v>20</v>
      </c>
      <c r="H25" s="1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20">
        <v>44256.0</v>
      </c>
      <c r="C26" s="8"/>
      <c r="D26" s="8"/>
      <c r="E26" s="8"/>
      <c r="F26" s="8"/>
      <c r="G26" s="8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">
        <v>21</v>
      </c>
      <c r="B27" s="18" t="s">
        <v>22</v>
      </c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22">
        <v>44409.0</v>
      </c>
      <c r="C28" s="8"/>
      <c r="D28" s="8"/>
      <c r="E28" s="8"/>
      <c r="F28" s="8"/>
      <c r="G28" s="8"/>
      <c r="H28" s="2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 t="s">
        <v>28</v>
      </c>
      <c r="B29" s="23"/>
      <c r="C29" s="18" t="s">
        <v>15</v>
      </c>
      <c r="D29" s="18" t="s">
        <v>16</v>
      </c>
      <c r="E29" s="18" t="s">
        <v>17</v>
      </c>
      <c r="F29" s="18" t="s">
        <v>18</v>
      </c>
      <c r="G29" s="18" t="s">
        <v>19</v>
      </c>
      <c r="H29" s="24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18" t="s">
        <v>29</v>
      </c>
      <c r="C30" s="18">
        <v>56.0</v>
      </c>
      <c r="D30" s="23"/>
      <c r="E30" s="23"/>
      <c r="F30" s="23"/>
      <c r="G30" s="23"/>
      <c r="H30" s="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18" t="s">
        <v>30</v>
      </c>
      <c r="C31" s="1">
        <v>48.9</v>
      </c>
      <c r="D31" s="23"/>
      <c r="E31" s="23"/>
      <c r="F31" s="23"/>
      <c r="G31" s="23"/>
      <c r="H31" s="1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18" t="s">
        <v>31</v>
      </c>
      <c r="C32" s="18"/>
      <c r="D32" s="23"/>
      <c r="E32" s="23"/>
      <c r="F32" s="2"/>
      <c r="G32" s="23"/>
      <c r="H32" s="1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/>
      <c r="B33" s="9" t="s">
        <v>32</v>
      </c>
      <c r="C33" s="9"/>
      <c r="D33" s="8"/>
      <c r="E33" s="8"/>
      <c r="F33" s="8"/>
      <c r="G33" s="8"/>
      <c r="H33" s="2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5" t="s">
        <v>33</v>
      </c>
      <c r="C34" s="23"/>
      <c r="D34" s="23"/>
      <c r="E34" s="23"/>
      <c r="F34" s="23"/>
      <c r="G34" s="23"/>
      <c r="H34" s="1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6"/>
      <c r="B35" s="23"/>
      <c r="C35" s="23"/>
      <c r="D35" s="23"/>
      <c r="E35" s="23"/>
      <c r="F35" s="23"/>
      <c r="G35" s="23"/>
      <c r="H35" s="1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6"/>
      <c r="B36" s="23"/>
      <c r="C36" s="23"/>
      <c r="D36" s="23"/>
      <c r="E36" s="23"/>
      <c r="F36" s="23"/>
      <c r="G36" s="23"/>
      <c r="H36" s="1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6"/>
      <c r="B37" s="23"/>
      <c r="C37" s="23"/>
      <c r="D37" s="23"/>
      <c r="E37" s="23"/>
      <c r="F37" s="23"/>
      <c r="G37" s="23"/>
      <c r="H37" s="1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7"/>
      <c r="B38" s="8"/>
      <c r="C38" s="8"/>
      <c r="D38" s="8"/>
      <c r="E38" s="8"/>
      <c r="F38" s="8"/>
      <c r="G38" s="8"/>
      <c r="H38" s="2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51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</v>
      </c>
      <c r="B42" s="4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5" t="s">
        <v>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7">
        <v>43820.0</v>
      </c>
      <c r="C43" s="10" t="s">
        <v>52</v>
      </c>
      <c r="D43" s="8"/>
      <c r="E43" s="9"/>
      <c r="F43" s="10" t="s">
        <v>53</v>
      </c>
      <c r="G43" s="10" t="s">
        <v>54</v>
      </c>
      <c r="H43" s="11" t="s">
        <v>55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/>
      <c r="B44" s="13" t="s">
        <v>13</v>
      </c>
      <c r="C44" s="14"/>
      <c r="D44" s="13"/>
      <c r="E44" s="13"/>
      <c r="F44" s="13"/>
      <c r="G44" s="15"/>
      <c r="H44" s="1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7" t="s">
        <v>14</v>
      </c>
      <c r="B45" s="4" t="s">
        <v>15</v>
      </c>
      <c r="C45" s="4" t="s">
        <v>16</v>
      </c>
      <c r="D45" s="18" t="s">
        <v>17</v>
      </c>
      <c r="E45" s="18" t="s">
        <v>18</v>
      </c>
      <c r="F45" s="18" t="s">
        <v>19</v>
      </c>
      <c r="G45" s="18" t="s">
        <v>20</v>
      </c>
      <c r="H45" s="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/>
      <c r="B46" s="30">
        <v>44593.0</v>
      </c>
      <c r="C46" s="8"/>
      <c r="D46" s="8"/>
      <c r="E46" s="8"/>
      <c r="F46" s="8"/>
      <c r="G46" s="8"/>
      <c r="H46" s="2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7" t="s">
        <v>21</v>
      </c>
      <c r="B47" s="18" t="s">
        <v>22</v>
      </c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1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/>
      <c r="B48" s="10"/>
      <c r="C48" s="8"/>
      <c r="D48" s="8"/>
      <c r="E48" s="8"/>
      <c r="F48" s="8"/>
      <c r="G48" s="8"/>
      <c r="H48" s="2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 t="s">
        <v>28</v>
      </c>
      <c r="B49" s="23"/>
      <c r="C49" s="18" t="s">
        <v>15</v>
      </c>
      <c r="D49" s="18" t="s">
        <v>16</v>
      </c>
      <c r="E49" s="18" t="s">
        <v>17</v>
      </c>
      <c r="F49" s="18" t="s">
        <v>18</v>
      </c>
      <c r="G49" s="18" t="s">
        <v>19</v>
      </c>
      <c r="H49" s="24" t="s">
        <v>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/>
      <c r="B50" s="18" t="s">
        <v>30</v>
      </c>
      <c r="C50" s="18">
        <v>30.7</v>
      </c>
      <c r="D50" s="23"/>
      <c r="E50" s="23"/>
      <c r="F50" s="23"/>
      <c r="G50" s="23"/>
      <c r="H50" s="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18" t="s">
        <v>31</v>
      </c>
      <c r="C51" s="18"/>
      <c r="D51" s="23"/>
      <c r="E51" s="23"/>
      <c r="F51" s="2"/>
      <c r="G51" s="23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/>
      <c r="B52" s="9" t="s">
        <v>32</v>
      </c>
      <c r="C52" s="9"/>
      <c r="D52" s="8"/>
      <c r="E52" s="8"/>
      <c r="F52" s="8"/>
      <c r="G52" s="8"/>
      <c r="H52" s="2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5" t="s">
        <v>33</v>
      </c>
      <c r="C53" s="23"/>
      <c r="D53" s="23"/>
      <c r="E53" s="23"/>
      <c r="F53" s="23"/>
      <c r="G53" s="23"/>
      <c r="H53" s="1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6"/>
      <c r="B54" s="23"/>
      <c r="C54" s="23"/>
      <c r="D54" s="23"/>
      <c r="E54" s="23"/>
      <c r="F54" s="23"/>
      <c r="G54" s="23"/>
      <c r="H54" s="1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6"/>
      <c r="B55" s="23"/>
      <c r="C55" s="23"/>
      <c r="D55" s="23"/>
      <c r="E55" s="23"/>
      <c r="F55" s="23"/>
      <c r="G55" s="23"/>
      <c r="H55" s="1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6"/>
      <c r="B56" s="23"/>
      <c r="C56" s="23"/>
      <c r="D56" s="23"/>
      <c r="E56" s="23"/>
      <c r="F56" s="23"/>
      <c r="G56" s="23"/>
      <c r="H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7"/>
      <c r="B57" s="8"/>
      <c r="C57" s="8"/>
      <c r="D57" s="8"/>
      <c r="E57" s="8"/>
      <c r="F57" s="8"/>
      <c r="G57" s="8"/>
      <c r="H57" s="2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</sheetData>
  <mergeCells count="15">
    <mergeCell ref="A27:A28"/>
    <mergeCell ref="A29:A33"/>
    <mergeCell ref="A34:B34"/>
    <mergeCell ref="A42:A44"/>
    <mergeCell ref="A45:A46"/>
    <mergeCell ref="A47:A48"/>
    <mergeCell ref="A49:A52"/>
    <mergeCell ref="A53:B53"/>
    <mergeCell ref="A2:A4"/>
    <mergeCell ref="A5:A6"/>
    <mergeCell ref="A7:A8"/>
    <mergeCell ref="A9:A13"/>
    <mergeCell ref="A14:B14"/>
    <mergeCell ref="A22:A24"/>
    <mergeCell ref="A25:A2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1.22" defaultRowHeight="15.0"/>
  <cols>
    <col customWidth="1" min="7" max="7" width="11.22"/>
  </cols>
  <sheetData>
    <row r="1">
      <c r="A1" s="14" t="s">
        <v>56</v>
      </c>
      <c r="B1" s="23"/>
      <c r="C1" s="23"/>
      <c r="D1" s="23"/>
      <c r="E1" s="23"/>
      <c r="F1" s="23"/>
      <c r="G1" s="23"/>
      <c r="H1" s="2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6"/>
      <c r="B3" s="7">
        <v>43011.0</v>
      </c>
      <c r="C3" s="9" t="s">
        <v>57</v>
      </c>
      <c r="D3" s="8"/>
      <c r="E3" s="10" t="s">
        <v>9</v>
      </c>
      <c r="F3" s="10" t="s">
        <v>10</v>
      </c>
      <c r="G3" s="10" t="s">
        <v>11</v>
      </c>
      <c r="H3" s="11" t="s">
        <v>12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2"/>
      <c r="B4" s="13" t="s">
        <v>13</v>
      </c>
      <c r="C4" s="10"/>
      <c r="D4" s="13"/>
      <c r="E4" s="13"/>
      <c r="F4" s="13"/>
      <c r="G4" s="15"/>
      <c r="H4" s="16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7" t="s">
        <v>14</v>
      </c>
      <c r="B5" s="18" t="s">
        <v>15</v>
      </c>
      <c r="C5" s="18" t="s">
        <v>16</v>
      </c>
      <c r="D5" s="18" t="s">
        <v>17</v>
      </c>
      <c r="E5" s="18" t="s">
        <v>18</v>
      </c>
      <c r="F5" s="18" t="s">
        <v>19</v>
      </c>
      <c r="G5" s="18" t="s">
        <v>20</v>
      </c>
      <c r="H5" s="19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2"/>
      <c r="B6" s="30">
        <v>44136.0</v>
      </c>
      <c r="C6" s="8"/>
      <c r="D6" s="8"/>
      <c r="E6" s="8"/>
      <c r="F6" s="8"/>
      <c r="G6" s="8"/>
      <c r="H6" s="21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7" t="s">
        <v>21</v>
      </c>
      <c r="B7" s="18" t="s">
        <v>22</v>
      </c>
      <c r="C7" s="18" t="s">
        <v>23</v>
      </c>
      <c r="D7" s="18" t="s">
        <v>24</v>
      </c>
      <c r="E7" s="18" t="s">
        <v>25</v>
      </c>
      <c r="F7" s="18" t="s">
        <v>26</v>
      </c>
      <c r="G7" s="18" t="s">
        <v>27</v>
      </c>
      <c r="H7" s="19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2"/>
      <c r="B8" s="10"/>
      <c r="C8" s="8"/>
      <c r="D8" s="8"/>
      <c r="E8" s="8"/>
      <c r="F8" s="8"/>
      <c r="G8" s="8"/>
      <c r="H8" s="2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28</v>
      </c>
      <c r="B9" s="23"/>
      <c r="C9" s="18" t="s">
        <v>15</v>
      </c>
      <c r="D9" s="18" t="s">
        <v>16</v>
      </c>
      <c r="E9" s="18" t="s">
        <v>17</v>
      </c>
      <c r="F9" s="18" t="s">
        <v>18</v>
      </c>
      <c r="G9" s="18" t="s">
        <v>19</v>
      </c>
      <c r="H9" s="24" t="s">
        <v>20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6"/>
      <c r="B10" s="18" t="s">
        <v>29</v>
      </c>
      <c r="C10" s="18">
        <v>73.07</v>
      </c>
      <c r="D10" s="23"/>
      <c r="E10" s="23"/>
      <c r="F10" s="23"/>
      <c r="G10" s="23"/>
      <c r="H10" s="19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6"/>
      <c r="B11" s="18" t="s">
        <v>30</v>
      </c>
      <c r="C11" s="18">
        <v>77.08</v>
      </c>
      <c r="D11" s="23"/>
      <c r="E11" s="23"/>
      <c r="F11" s="23"/>
      <c r="G11" s="23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6"/>
      <c r="B12" s="18" t="s">
        <v>31</v>
      </c>
      <c r="C12" s="18">
        <v>70.21</v>
      </c>
      <c r="D12" s="23"/>
      <c r="E12" s="23"/>
      <c r="F12" s="2"/>
      <c r="G12" s="23"/>
      <c r="H12" s="19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2"/>
      <c r="B13" s="9" t="s">
        <v>32</v>
      </c>
      <c r="C13" s="8"/>
      <c r="D13" s="8"/>
      <c r="E13" s="8"/>
      <c r="F13" s="8"/>
      <c r="G13" s="8"/>
      <c r="H13" s="2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5" t="s">
        <v>33</v>
      </c>
      <c r="C14" s="23"/>
      <c r="D14" s="23"/>
      <c r="E14" s="23"/>
      <c r="F14" s="23"/>
      <c r="G14" s="23"/>
      <c r="H14" s="1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6"/>
      <c r="B15" s="23"/>
      <c r="C15" s="23"/>
      <c r="D15" s="23"/>
      <c r="E15" s="23"/>
      <c r="F15" s="23"/>
      <c r="G15" s="23"/>
      <c r="H15" s="19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6"/>
      <c r="B16" s="23"/>
      <c r="C16" s="23"/>
      <c r="D16" s="23"/>
      <c r="E16" s="23"/>
      <c r="F16" s="23"/>
      <c r="G16" s="23"/>
      <c r="H16" s="19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6"/>
      <c r="B17" s="23"/>
      <c r="C17" s="23"/>
      <c r="D17" s="23"/>
      <c r="E17" s="23"/>
      <c r="F17" s="23"/>
      <c r="G17" s="23"/>
      <c r="H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7"/>
      <c r="B18" s="8"/>
      <c r="C18" s="8"/>
      <c r="D18" s="8"/>
      <c r="E18" s="8"/>
      <c r="F18" s="8"/>
      <c r="G18" s="8"/>
      <c r="H18" s="2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4" t="s">
        <v>58</v>
      </c>
      <c r="B21" s="23"/>
      <c r="C21" s="23"/>
      <c r="D21" s="23"/>
      <c r="E21" s="23"/>
      <c r="F21" s="23"/>
      <c r="G21" s="23"/>
      <c r="H21" s="23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1</v>
      </c>
      <c r="B22" s="4" t="s">
        <v>2</v>
      </c>
      <c r="C22" s="4" t="s">
        <v>3</v>
      </c>
      <c r="D22" s="4" t="s">
        <v>4</v>
      </c>
      <c r="E22" s="4" t="s">
        <v>5</v>
      </c>
      <c r="F22" s="4" t="s">
        <v>6</v>
      </c>
      <c r="G22" s="4" t="s">
        <v>7</v>
      </c>
      <c r="H22" s="5" t="s">
        <v>8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6"/>
      <c r="B23" s="7">
        <v>43028.0</v>
      </c>
      <c r="C23" s="9" t="s">
        <v>57</v>
      </c>
      <c r="D23" s="8"/>
      <c r="E23" s="14" t="s">
        <v>59</v>
      </c>
      <c r="F23" s="14" t="s">
        <v>60</v>
      </c>
      <c r="G23" s="14" t="s">
        <v>61</v>
      </c>
      <c r="H23" s="14" t="s">
        <v>62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2"/>
      <c r="B24" s="13" t="s">
        <v>13</v>
      </c>
      <c r="C24" s="10" t="s">
        <v>63</v>
      </c>
      <c r="D24" s="13"/>
      <c r="E24" s="13"/>
      <c r="F24" s="13"/>
      <c r="G24" s="15"/>
      <c r="H24" s="16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7" t="s">
        <v>14</v>
      </c>
      <c r="B25" s="18" t="s">
        <v>15</v>
      </c>
      <c r="C25" s="18" t="s">
        <v>16</v>
      </c>
      <c r="D25" s="18" t="s">
        <v>17</v>
      </c>
      <c r="E25" s="18" t="s">
        <v>18</v>
      </c>
      <c r="F25" s="18" t="s">
        <v>19</v>
      </c>
      <c r="G25" s="18" t="s">
        <v>20</v>
      </c>
      <c r="H25" s="19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2"/>
      <c r="B26" s="30">
        <v>44136.0</v>
      </c>
      <c r="C26" s="8"/>
      <c r="D26" s="8"/>
      <c r="E26" s="8"/>
      <c r="F26" s="8"/>
      <c r="G26" s="8"/>
      <c r="H26" s="2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7" t="s">
        <v>21</v>
      </c>
      <c r="B27" s="18" t="s">
        <v>22</v>
      </c>
      <c r="C27" s="18" t="s">
        <v>23</v>
      </c>
      <c r="D27" s="18" t="s">
        <v>24</v>
      </c>
      <c r="E27" s="18" t="s">
        <v>25</v>
      </c>
      <c r="F27" s="18" t="s">
        <v>26</v>
      </c>
      <c r="G27" s="18" t="s">
        <v>27</v>
      </c>
      <c r="H27" s="19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2"/>
      <c r="B28" s="31">
        <v>44075.0</v>
      </c>
      <c r="C28" s="8"/>
      <c r="D28" s="8"/>
      <c r="E28" s="8"/>
      <c r="F28" s="8"/>
      <c r="G28" s="8"/>
      <c r="H28" s="2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7" t="s">
        <v>28</v>
      </c>
      <c r="B29" s="23"/>
      <c r="C29" s="18" t="s">
        <v>15</v>
      </c>
      <c r="D29" s="18" t="s">
        <v>16</v>
      </c>
      <c r="E29" s="18" t="s">
        <v>17</v>
      </c>
      <c r="F29" s="18" t="s">
        <v>18</v>
      </c>
      <c r="G29" s="18" t="s">
        <v>19</v>
      </c>
      <c r="H29" s="24" t="s">
        <v>20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6"/>
      <c r="B30" s="18" t="s">
        <v>29</v>
      </c>
      <c r="C30" s="18">
        <v>88.0</v>
      </c>
      <c r="D30" s="23"/>
      <c r="E30" s="23"/>
      <c r="F30" s="23"/>
      <c r="G30" s="23"/>
      <c r="H30" s="19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6"/>
      <c r="B31" s="18" t="s">
        <v>30</v>
      </c>
      <c r="C31" s="18">
        <v>89.58</v>
      </c>
      <c r="D31" s="23"/>
      <c r="E31" s="23"/>
      <c r="F31" s="23"/>
      <c r="G31" s="23"/>
      <c r="H31" s="19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6"/>
      <c r="B32" s="18" t="s">
        <v>31</v>
      </c>
      <c r="C32" s="18">
        <v>89.36</v>
      </c>
      <c r="D32" s="23"/>
      <c r="E32" s="23"/>
      <c r="F32" s="2"/>
      <c r="G32" s="23"/>
      <c r="H32" s="19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2"/>
      <c r="B33" s="9" t="s">
        <v>32</v>
      </c>
      <c r="C33" s="8"/>
      <c r="D33" s="8"/>
      <c r="E33" s="8"/>
      <c r="F33" s="8"/>
      <c r="G33" s="8"/>
      <c r="H33" s="2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5" t="s">
        <v>33</v>
      </c>
      <c r="C34" s="23"/>
      <c r="D34" s="23"/>
      <c r="E34" s="23"/>
      <c r="F34" s="23"/>
      <c r="G34" s="23"/>
      <c r="H34" s="19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6"/>
      <c r="B35" s="23"/>
      <c r="C35" s="23"/>
      <c r="D35" s="23"/>
      <c r="E35" s="23"/>
      <c r="F35" s="23"/>
      <c r="G35" s="23"/>
      <c r="H35" s="19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6"/>
      <c r="B36" s="23"/>
      <c r="C36" s="23"/>
      <c r="D36" s="23"/>
      <c r="E36" s="23"/>
      <c r="F36" s="23"/>
      <c r="G36" s="23"/>
      <c r="H36" s="19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6"/>
      <c r="B37" s="23"/>
      <c r="C37" s="23"/>
      <c r="D37" s="23"/>
      <c r="E37" s="23"/>
      <c r="F37" s="23"/>
      <c r="G37" s="23"/>
      <c r="H37" s="19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7"/>
      <c r="B38" s="8"/>
      <c r="C38" s="8"/>
      <c r="D38" s="8"/>
      <c r="E38" s="8"/>
      <c r="F38" s="8"/>
      <c r="G38" s="8"/>
      <c r="H38" s="2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4" t="s">
        <v>64</v>
      </c>
      <c r="B41" s="23"/>
      <c r="C41" s="23"/>
      <c r="D41" s="23"/>
      <c r="E41" s="23"/>
      <c r="F41" s="23"/>
      <c r="G41" s="23"/>
      <c r="H41" s="23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1</v>
      </c>
      <c r="B42" s="4" t="s">
        <v>2</v>
      </c>
      <c r="C42" s="4" t="s">
        <v>3</v>
      </c>
      <c r="D42" s="4" t="s">
        <v>4</v>
      </c>
      <c r="E42" s="4" t="s">
        <v>5</v>
      </c>
      <c r="F42" s="4" t="s">
        <v>6</v>
      </c>
      <c r="G42" s="4" t="s">
        <v>7</v>
      </c>
      <c r="H42" s="5" t="s">
        <v>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6"/>
      <c r="B43" s="7">
        <v>43326.0</v>
      </c>
      <c r="C43" s="9" t="s">
        <v>57</v>
      </c>
      <c r="D43" s="8"/>
      <c r="E43" s="14" t="s">
        <v>65</v>
      </c>
      <c r="F43" s="14" t="s">
        <v>66</v>
      </c>
      <c r="G43" s="14" t="s">
        <v>67</v>
      </c>
      <c r="H43" s="14" t="s">
        <v>68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2"/>
      <c r="B44" s="13" t="s">
        <v>13</v>
      </c>
      <c r="C44" s="10"/>
      <c r="D44" s="13"/>
      <c r="E44" s="13"/>
      <c r="F44" s="13"/>
      <c r="G44" s="15"/>
      <c r="H44" s="16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7" t="s">
        <v>14</v>
      </c>
      <c r="B45" s="18" t="s">
        <v>15</v>
      </c>
      <c r="C45" s="18" t="s">
        <v>16</v>
      </c>
      <c r="D45" s="18" t="s">
        <v>17</v>
      </c>
      <c r="E45" s="18" t="s">
        <v>18</v>
      </c>
      <c r="F45" s="18" t="s">
        <v>19</v>
      </c>
      <c r="G45" s="18" t="s">
        <v>20</v>
      </c>
      <c r="H45" s="19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2"/>
      <c r="B46" s="20">
        <v>44805.0</v>
      </c>
      <c r="C46" s="8"/>
      <c r="D46" s="8"/>
      <c r="E46" s="8"/>
      <c r="F46" s="8"/>
      <c r="G46" s="8"/>
      <c r="H46" s="2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7" t="s">
        <v>21</v>
      </c>
      <c r="B47" s="18" t="s">
        <v>22</v>
      </c>
      <c r="C47" s="18" t="s">
        <v>23</v>
      </c>
      <c r="D47" s="18" t="s">
        <v>24</v>
      </c>
      <c r="E47" s="18" t="s">
        <v>25</v>
      </c>
      <c r="F47" s="18" t="s">
        <v>26</v>
      </c>
      <c r="G47" s="18" t="s">
        <v>27</v>
      </c>
      <c r="H47" s="19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2"/>
      <c r="B48" s="22">
        <v>44774.0</v>
      </c>
      <c r="C48" s="8"/>
      <c r="D48" s="8"/>
      <c r="E48" s="8"/>
      <c r="F48" s="8"/>
      <c r="G48" s="8"/>
      <c r="H48" s="2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7" t="s">
        <v>28</v>
      </c>
      <c r="B49" s="23"/>
      <c r="C49" s="18" t="s">
        <v>15</v>
      </c>
      <c r="D49" s="18" t="s">
        <v>16</v>
      </c>
      <c r="E49" s="18" t="s">
        <v>17</v>
      </c>
      <c r="F49" s="18" t="s">
        <v>18</v>
      </c>
      <c r="G49" s="18" t="s">
        <v>19</v>
      </c>
      <c r="H49" s="24" t="s">
        <v>20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6"/>
      <c r="B50" s="18" t="s">
        <v>30</v>
      </c>
      <c r="C50" s="18"/>
      <c r="D50" s="23"/>
      <c r="E50" s="23"/>
      <c r="F50" s="23"/>
      <c r="G50" s="23"/>
      <c r="H50" s="19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6"/>
      <c r="B51" s="18" t="s">
        <v>31</v>
      </c>
      <c r="C51" s="18">
        <v>89.58</v>
      </c>
      <c r="D51" s="23"/>
      <c r="E51" s="23"/>
      <c r="F51" s="2"/>
      <c r="G51" s="23"/>
      <c r="H51" s="19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2"/>
      <c r="B52" s="9" t="s">
        <v>32</v>
      </c>
      <c r="C52" s="8"/>
      <c r="D52" s="8"/>
      <c r="E52" s="8"/>
      <c r="F52" s="8"/>
      <c r="G52" s="8"/>
      <c r="H52" s="2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5" t="s">
        <v>33</v>
      </c>
      <c r="C53" s="23"/>
      <c r="D53" s="23"/>
      <c r="E53" s="23"/>
      <c r="F53" s="23"/>
      <c r="G53" s="23"/>
      <c r="H53" s="19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6"/>
      <c r="B54" s="23"/>
      <c r="C54" s="23"/>
      <c r="D54" s="23"/>
      <c r="E54" s="23"/>
      <c r="F54" s="23"/>
      <c r="G54" s="23"/>
      <c r="H54" s="19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6"/>
      <c r="B55" s="23"/>
      <c r="C55" s="23"/>
      <c r="D55" s="23"/>
      <c r="E55" s="23"/>
      <c r="F55" s="23"/>
      <c r="G55" s="23"/>
      <c r="H55" s="19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6"/>
      <c r="B56" s="23"/>
      <c r="C56" s="23"/>
      <c r="D56" s="23"/>
      <c r="E56" s="23"/>
      <c r="F56" s="23"/>
      <c r="G56" s="23"/>
      <c r="H56" s="19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7"/>
      <c r="B57" s="8"/>
      <c r="C57" s="8"/>
      <c r="D57" s="8"/>
      <c r="E57" s="8"/>
      <c r="F57" s="8"/>
      <c r="G57" s="8"/>
      <c r="H57" s="2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15">
    <mergeCell ref="A27:A28"/>
    <mergeCell ref="A29:A33"/>
    <mergeCell ref="A34:B34"/>
    <mergeCell ref="A42:A44"/>
    <mergeCell ref="A45:A46"/>
    <mergeCell ref="A47:A48"/>
    <mergeCell ref="A49:A52"/>
    <mergeCell ref="A53:B53"/>
    <mergeCell ref="A2:A4"/>
    <mergeCell ref="A5:A6"/>
    <mergeCell ref="A7:A8"/>
    <mergeCell ref="A9:A13"/>
    <mergeCell ref="A14:B14"/>
    <mergeCell ref="A22:A24"/>
    <mergeCell ref="A25:A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2CC"/>
    <outlinePr summaryBelow="0" summaryRight="0"/>
  </sheetPr>
  <sheetViews>
    <sheetView workbookViewId="0"/>
  </sheetViews>
  <sheetFormatPr customHeight="1" defaultColWidth="11.22" defaultRowHeight="15.0"/>
  <sheetData>
    <row r="1">
      <c r="A1" s="32" t="s">
        <v>69</v>
      </c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38">
        <v>42745.0</v>
      </c>
      <c r="C3" s="39" t="s">
        <v>57</v>
      </c>
      <c r="D3" s="33"/>
      <c r="E3" s="40" t="s">
        <v>70</v>
      </c>
      <c r="F3" s="32" t="s">
        <v>71</v>
      </c>
      <c r="G3" s="32">
        <v>9.6507712E8</v>
      </c>
      <c r="H3" s="32">
        <v>9.34300621E8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2"/>
      <c r="D4" s="41"/>
      <c r="E4" s="41"/>
      <c r="F4" s="41"/>
      <c r="G4" s="43"/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/>
      <c r="C6" s="48"/>
      <c r="D6" s="48"/>
      <c r="E6" s="48"/>
      <c r="F6" s="48"/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0"/>
      <c r="C8" s="48"/>
      <c r="D8" s="48"/>
      <c r="E8" s="48"/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52">
        <v>42.0</v>
      </c>
      <c r="D10" s="33"/>
      <c r="E10" s="33"/>
      <c r="F10" s="33"/>
      <c r="G10" s="33"/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40">
        <v>68.75</v>
      </c>
      <c r="D11" s="33"/>
      <c r="E11" s="33"/>
      <c r="F11" s="34"/>
      <c r="G11" s="33"/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53">
        <v>100.0</v>
      </c>
      <c r="D12" s="48"/>
      <c r="E12" s="48"/>
      <c r="F12" s="48"/>
      <c r="G12" s="48"/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6"/>
      <c r="B17" s="48"/>
      <c r="C17" s="48"/>
      <c r="D17" s="48"/>
      <c r="E17" s="48"/>
      <c r="F17" s="48"/>
      <c r="G17" s="48"/>
      <c r="H17" s="4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4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2" t="s">
        <v>72</v>
      </c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35" t="s">
        <v>1</v>
      </c>
      <c r="B21" s="36" t="s">
        <v>2</v>
      </c>
      <c r="C21" s="36" t="s">
        <v>3</v>
      </c>
      <c r="D21" s="36" t="s">
        <v>4</v>
      </c>
      <c r="E21" s="36" t="s">
        <v>5</v>
      </c>
      <c r="F21" s="36" t="s">
        <v>6</v>
      </c>
      <c r="G21" s="36" t="s">
        <v>7</v>
      </c>
      <c r="H21" s="37" t="s">
        <v>8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6"/>
      <c r="B22" s="38">
        <v>42759.0</v>
      </c>
      <c r="C22" s="32" t="s">
        <v>57</v>
      </c>
      <c r="D22" s="33"/>
      <c r="E22" s="40" t="s">
        <v>73</v>
      </c>
      <c r="F22" s="32" t="s">
        <v>74</v>
      </c>
      <c r="G22" s="32"/>
      <c r="H22" s="57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2"/>
      <c r="B23" s="41" t="s">
        <v>13</v>
      </c>
      <c r="C23" s="42" t="s">
        <v>75</v>
      </c>
      <c r="D23" s="41"/>
      <c r="E23" s="41"/>
      <c r="F23" s="41"/>
      <c r="G23" s="43"/>
      <c r="H23" s="5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5" t="s">
        <v>14</v>
      </c>
      <c r="B24" s="40" t="s">
        <v>15</v>
      </c>
      <c r="C24" s="40" t="s">
        <v>16</v>
      </c>
      <c r="D24" s="40" t="s">
        <v>17</v>
      </c>
      <c r="E24" s="40" t="s">
        <v>18</v>
      </c>
      <c r="F24" s="40" t="s">
        <v>19</v>
      </c>
      <c r="G24" s="40" t="s">
        <v>20</v>
      </c>
      <c r="H24" s="46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2"/>
      <c r="B25" s="47" t="s">
        <v>76</v>
      </c>
      <c r="C25" s="48"/>
      <c r="D25" s="48"/>
      <c r="E25" s="48"/>
      <c r="F25" s="48"/>
      <c r="G25" s="48"/>
      <c r="H25" s="49"/>
      <c r="I25" s="34"/>
      <c r="J25" s="34"/>
      <c r="K25" s="59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5" t="s">
        <v>21</v>
      </c>
      <c r="B26" s="40" t="s">
        <v>22</v>
      </c>
      <c r="C26" s="40" t="s">
        <v>23</v>
      </c>
      <c r="D26" s="40" t="s">
        <v>24</v>
      </c>
      <c r="E26" s="40" t="s">
        <v>25</v>
      </c>
      <c r="F26" s="40" t="s">
        <v>26</v>
      </c>
      <c r="G26" s="40" t="s">
        <v>27</v>
      </c>
      <c r="H26" s="46"/>
      <c r="I26" s="34"/>
      <c r="J26" s="34"/>
      <c r="K26" s="59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12"/>
      <c r="B27" s="53" t="s">
        <v>77</v>
      </c>
      <c r="C27" s="48"/>
      <c r="D27" s="48"/>
      <c r="E27" s="48"/>
      <c r="F27" s="48"/>
      <c r="G27" s="48"/>
      <c r="H27" s="49"/>
      <c r="I27" s="34"/>
      <c r="J27" s="34"/>
      <c r="K27" s="59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45" t="s">
        <v>28</v>
      </c>
      <c r="B28" s="33"/>
      <c r="C28" s="40" t="s">
        <v>15</v>
      </c>
      <c r="D28" s="40" t="s">
        <v>16</v>
      </c>
      <c r="E28" s="40" t="s">
        <v>17</v>
      </c>
      <c r="F28" s="40" t="s">
        <v>18</v>
      </c>
      <c r="G28" s="40" t="s">
        <v>19</v>
      </c>
      <c r="H28" s="51" t="s">
        <v>20</v>
      </c>
      <c r="I28" s="34"/>
      <c r="J28" s="34"/>
      <c r="K28" s="59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6"/>
      <c r="B29" s="40" t="s">
        <v>30</v>
      </c>
      <c r="C29" s="52">
        <v>70.0</v>
      </c>
      <c r="D29" s="33"/>
      <c r="E29" s="33"/>
      <c r="F29" s="33"/>
      <c r="G29" s="33"/>
      <c r="H29" s="46"/>
      <c r="I29" s="34"/>
      <c r="J29" s="34"/>
      <c r="K29" s="59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6"/>
      <c r="B30" s="40" t="s">
        <v>31</v>
      </c>
      <c r="C30" s="40">
        <v>85.41</v>
      </c>
      <c r="D30" s="33"/>
      <c r="E30" s="33"/>
      <c r="F30" s="34"/>
      <c r="G30" s="33"/>
      <c r="H30" s="46"/>
      <c r="I30" s="34"/>
      <c r="J30" s="34"/>
      <c r="K30" s="59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12"/>
      <c r="B31" s="53" t="s">
        <v>32</v>
      </c>
      <c r="C31" s="53">
        <v>85.1</v>
      </c>
      <c r="D31" s="48"/>
      <c r="E31" s="48"/>
      <c r="F31" s="48"/>
      <c r="G31" s="48"/>
      <c r="H31" s="49"/>
      <c r="I31" s="34"/>
      <c r="J31" s="34"/>
      <c r="K31" s="59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54" t="s">
        <v>33</v>
      </c>
      <c r="C32" s="33"/>
      <c r="D32" s="33"/>
      <c r="E32" s="33"/>
      <c r="F32" s="33"/>
      <c r="G32" s="33"/>
      <c r="H32" s="46"/>
      <c r="I32" s="34"/>
      <c r="J32" s="34"/>
      <c r="K32" s="59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5"/>
      <c r="B33" s="33"/>
      <c r="C33" s="33"/>
      <c r="D33" s="33"/>
      <c r="E33" s="33"/>
      <c r="F33" s="33"/>
      <c r="G33" s="33"/>
      <c r="H33" s="46"/>
      <c r="I33" s="34"/>
      <c r="J33" s="34"/>
      <c r="K33" s="59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5"/>
      <c r="B34" s="33"/>
      <c r="C34" s="33"/>
      <c r="D34" s="33"/>
      <c r="E34" s="33"/>
      <c r="F34" s="33"/>
      <c r="G34" s="33"/>
      <c r="H34" s="46"/>
      <c r="I34" s="34"/>
      <c r="J34" s="34"/>
      <c r="K34" s="59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5"/>
      <c r="B35" s="33"/>
      <c r="C35" s="33"/>
      <c r="D35" s="33"/>
      <c r="E35" s="33"/>
      <c r="F35" s="33"/>
      <c r="G35" s="33"/>
      <c r="H35" s="46"/>
      <c r="I35" s="34"/>
      <c r="J35" s="34"/>
      <c r="K35" s="59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56"/>
      <c r="B36" s="48"/>
      <c r="C36" s="48"/>
      <c r="D36" s="48"/>
      <c r="E36" s="48"/>
      <c r="F36" s="48"/>
      <c r="G36" s="48"/>
      <c r="H36" s="49"/>
      <c r="I36" s="34"/>
      <c r="J36" s="34"/>
      <c r="K36" s="59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59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59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2" t="s">
        <v>78</v>
      </c>
      <c r="B39" s="33"/>
      <c r="C39" s="33"/>
      <c r="D39" s="33"/>
      <c r="E39" s="33"/>
      <c r="F39" s="33"/>
      <c r="G39" s="33"/>
      <c r="H39" s="33"/>
      <c r="I39" s="34"/>
      <c r="J39" s="34"/>
      <c r="K39" s="59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5" t="s">
        <v>1</v>
      </c>
      <c r="B40" s="36" t="s">
        <v>2</v>
      </c>
      <c r="C40" s="36" t="s">
        <v>3</v>
      </c>
      <c r="D40" s="36" t="s">
        <v>4</v>
      </c>
      <c r="E40" s="36" t="s">
        <v>5</v>
      </c>
      <c r="F40" s="36" t="s">
        <v>6</v>
      </c>
      <c r="G40" s="36" t="s">
        <v>7</v>
      </c>
      <c r="H40" s="37" t="s">
        <v>8</v>
      </c>
      <c r="I40" s="34"/>
      <c r="J40" s="34"/>
      <c r="K40" s="59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6"/>
      <c r="B41" s="60">
        <v>42914.0</v>
      </c>
      <c r="C41" s="61" t="s">
        <v>57</v>
      </c>
      <c r="D41" s="48"/>
      <c r="E41" s="53" t="s">
        <v>47</v>
      </c>
      <c r="F41" s="50" t="s">
        <v>48</v>
      </c>
      <c r="G41" s="50">
        <v>9.2810981E8</v>
      </c>
      <c r="H41" s="62">
        <v>9.10192302E8</v>
      </c>
      <c r="I41" s="34"/>
      <c r="J41" s="34"/>
      <c r="K41" s="59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2"/>
      <c r="B42" s="41" t="s">
        <v>13</v>
      </c>
      <c r="C42" s="50"/>
      <c r="D42" s="41"/>
      <c r="E42" s="41"/>
      <c r="F42" s="41"/>
      <c r="G42" s="43"/>
      <c r="H42" s="44"/>
      <c r="I42" s="34"/>
      <c r="J42" s="34"/>
      <c r="K42" s="59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5" t="s">
        <v>14</v>
      </c>
      <c r="B43" s="40" t="s">
        <v>15</v>
      </c>
      <c r="C43" s="40" t="s">
        <v>16</v>
      </c>
      <c r="D43" s="40" t="s">
        <v>17</v>
      </c>
      <c r="E43" s="40" t="s">
        <v>18</v>
      </c>
      <c r="F43" s="40" t="s">
        <v>19</v>
      </c>
      <c r="G43" s="40" t="s">
        <v>20</v>
      </c>
      <c r="H43" s="46"/>
      <c r="I43" s="34"/>
      <c r="J43" s="34"/>
      <c r="K43" s="59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2"/>
      <c r="B44" s="47"/>
      <c r="C44" s="48"/>
      <c r="D44" s="48"/>
      <c r="E44" s="48"/>
      <c r="F44" s="48"/>
      <c r="G44" s="48"/>
      <c r="H44" s="49"/>
      <c r="I44" s="34"/>
      <c r="J44" s="34"/>
      <c r="K44" s="59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5" t="s">
        <v>21</v>
      </c>
      <c r="B45" s="40" t="s">
        <v>22</v>
      </c>
      <c r="C45" s="40" t="s">
        <v>23</v>
      </c>
      <c r="D45" s="40" t="s">
        <v>24</v>
      </c>
      <c r="E45" s="40" t="s">
        <v>25</v>
      </c>
      <c r="F45" s="40" t="s">
        <v>26</v>
      </c>
      <c r="G45" s="40" t="s">
        <v>27</v>
      </c>
      <c r="H45" s="46"/>
      <c r="I45" s="34"/>
      <c r="J45" s="34"/>
      <c r="K45" s="59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2"/>
      <c r="B46" s="50"/>
      <c r="C46" s="48"/>
      <c r="D46" s="48"/>
      <c r="E46" s="48"/>
      <c r="F46" s="48"/>
      <c r="G46" s="48"/>
      <c r="H46" s="49"/>
      <c r="I46" s="34"/>
      <c r="J46" s="34"/>
      <c r="K46" s="59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5" t="s">
        <v>28</v>
      </c>
      <c r="B47" s="33"/>
      <c r="C47" s="40" t="s">
        <v>15</v>
      </c>
      <c r="D47" s="40" t="s">
        <v>16</v>
      </c>
      <c r="E47" s="40" t="s">
        <v>17</v>
      </c>
      <c r="F47" s="40" t="s">
        <v>18</v>
      </c>
      <c r="G47" s="40" t="s">
        <v>19</v>
      </c>
      <c r="H47" s="51" t="s">
        <v>20</v>
      </c>
      <c r="I47" s="34"/>
      <c r="J47" s="34"/>
      <c r="K47" s="59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6"/>
      <c r="B48" s="40" t="s">
        <v>30</v>
      </c>
      <c r="C48" s="52">
        <v>71.05</v>
      </c>
      <c r="D48" s="33"/>
      <c r="E48" s="33"/>
      <c r="F48" s="33"/>
      <c r="G48" s="33"/>
      <c r="H48" s="46"/>
      <c r="I48" s="34"/>
      <c r="J48" s="34"/>
      <c r="K48" s="59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6"/>
      <c r="B49" s="40" t="s">
        <v>31</v>
      </c>
      <c r="C49" s="40">
        <v>68.75</v>
      </c>
      <c r="D49" s="33"/>
      <c r="E49" s="33"/>
      <c r="F49" s="34"/>
      <c r="G49" s="33"/>
      <c r="H49" s="46"/>
      <c r="I49" s="34"/>
      <c r="J49" s="34"/>
      <c r="K49" s="59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2"/>
      <c r="B50" s="53" t="s">
        <v>32</v>
      </c>
      <c r="C50" s="53">
        <v>46.8</v>
      </c>
      <c r="D50" s="48"/>
      <c r="E50" s="48"/>
      <c r="F50" s="48"/>
      <c r="G50" s="48"/>
      <c r="H50" s="49"/>
      <c r="I50" s="34"/>
      <c r="J50" s="34"/>
      <c r="K50" s="59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54" t="s">
        <v>33</v>
      </c>
      <c r="C51" s="33"/>
      <c r="D51" s="33"/>
      <c r="E51" s="33"/>
      <c r="F51" s="33"/>
      <c r="G51" s="33"/>
      <c r="H51" s="46"/>
      <c r="I51" s="34"/>
      <c r="J51" s="34"/>
      <c r="K51" s="59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55"/>
      <c r="B52" s="33"/>
      <c r="C52" s="33"/>
      <c r="D52" s="33"/>
      <c r="E52" s="33"/>
      <c r="F52" s="33"/>
      <c r="G52" s="33"/>
      <c r="H52" s="46"/>
      <c r="I52" s="34"/>
      <c r="J52" s="34"/>
      <c r="K52" s="59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55"/>
      <c r="B53" s="33"/>
      <c r="C53" s="33"/>
      <c r="D53" s="33"/>
      <c r="E53" s="33"/>
      <c r="F53" s="33"/>
      <c r="G53" s="33"/>
      <c r="H53" s="46"/>
      <c r="I53" s="34"/>
      <c r="J53" s="34"/>
      <c r="K53" s="59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55"/>
      <c r="B54" s="33"/>
      <c r="C54" s="33"/>
      <c r="D54" s="33"/>
      <c r="E54" s="33"/>
      <c r="F54" s="33"/>
      <c r="G54" s="33"/>
      <c r="H54" s="46"/>
      <c r="I54" s="34"/>
      <c r="J54" s="34"/>
      <c r="K54" s="59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56"/>
      <c r="B55" s="48"/>
      <c r="C55" s="48"/>
      <c r="D55" s="48"/>
      <c r="E55" s="48"/>
      <c r="F55" s="48"/>
      <c r="G55" s="48"/>
      <c r="H55" s="49"/>
      <c r="I55" s="34"/>
      <c r="J55" s="34"/>
      <c r="K55" s="59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59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59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2" t="s">
        <v>79</v>
      </c>
      <c r="B58" s="33"/>
      <c r="C58" s="33"/>
      <c r="D58" s="33"/>
      <c r="E58" s="33"/>
      <c r="F58" s="33"/>
      <c r="G58" s="33"/>
      <c r="H58" s="33"/>
      <c r="I58" s="34"/>
      <c r="J58" s="34"/>
      <c r="K58" s="59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5" t="s">
        <v>1</v>
      </c>
      <c r="B59" s="36" t="s">
        <v>2</v>
      </c>
      <c r="C59" s="36" t="s">
        <v>3</v>
      </c>
      <c r="D59" s="36" t="s">
        <v>4</v>
      </c>
      <c r="E59" s="36" t="s">
        <v>5</v>
      </c>
      <c r="F59" s="36" t="s">
        <v>6</v>
      </c>
      <c r="G59" s="36" t="s">
        <v>7</v>
      </c>
      <c r="H59" s="37" t="s">
        <v>8</v>
      </c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6"/>
      <c r="B60" s="60">
        <v>42974.0</v>
      </c>
      <c r="C60" s="61" t="s">
        <v>80</v>
      </c>
      <c r="D60" s="48"/>
      <c r="E60" s="53"/>
      <c r="F60" s="50" t="s">
        <v>53</v>
      </c>
      <c r="G60" s="10" t="s">
        <v>54</v>
      </c>
      <c r="H60" s="11" t="s">
        <v>55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2"/>
      <c r="B61" s="41" t="s">
        <v>13</v>
      </c>
      <c r="C61" s="50"/>
      <c r="D61" s="41"/>
      <c r="E61" s="41"/>
      <c r="F61" s="41"/>
      <c r="G61" s="43"/>
      <c r="H61" s="4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45" t="s">
        <v>14</v>
      </c>
      <c r="B62" s="40" t="s">
        <v>15</v>
      </c>
      <c r="C62" s="40" t="s">
        <v>16</v>
      </c>
      <c r="D62" s="40" t="s">
        <v>17</v>
      </c>
      <c r="E62" s="40" t="s">
        <v>18</v>
      </c>
      <c r="F62" s="40" t="s">
        <v>19</v>
      </c>
      <c r="G62" s="40" t="s">
        <v>20</v>
      </c>
      <c r="H62" s="46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2"/>
      <c r="B63" s="63">
        <v>44348.0</v>
      </c>
      <c r="C63" s="48"/>
      <c r="D63" s="48"/>
      <c r="E63" s="48"/>
      <c r="F63" s="48"/>
      <c r="G63" s="48"/>
      <c r="H63" s="49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45" t="s">
        <v>21</v>
      </c>
      <c r="B64" s="40" t="s">
        <v>22</v>
      </c>
      <c r="C64" s="40" t="s">
        <v>23</v>
      </c>
      <c r="D64" s="40" t="s">
        <v>24</v>
      </c>
      <c r="E64" s="40" t="s">
        <v>25</v>
      </c>
      <c r="F64" s="40" t="s">
        <v>26</v>
      </c>
      <c r="G64" s="40" t="s">
        <v>27</v>
      </c>
      <c r="H64" s="46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2"/>
      <c r="B65" s="50"/>
      <c r="C65" s="48"/>
      <c r="D65" s="48"/>
      <c r="E65" s="48"/>
      <c r="F65" s="48"/>
      <c r="G65" s="48"/>
      <c r="H65" s="49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45" t="s">
        <v>28</v>
      </c>
      <c r="B66" s="33"/>
      <c r="C66" s="40" t="s">
        <v>15</v>
      </c>
      <c r="D66" s="40" t="s">
        <v>16</v>
      </c>
      <c r="E66" s="40" t="s">
        <v>17</v>
      </c>
      <c r="F66" s="40" t="s">
        <v>18</v>
      </c>
      <c r="G66" s="40" t="s">
        <v>19</v>
      </c>
      <c r="H66" s="51" t="s">
        <v>20</v>
      </c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6"/>
      <c r="B67" s="40" t="s">
        <v>30</v>
      </c>
      <c r="C67" s="52"/>
      <c r="D67" s="33"/>
      <c r="E67" s="33"/>
      <c r="F67" s="33"/>
      <c r="G67" s="33"/>
      <c r="H67" s="4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6"/>
      <c r="B68" s="40" t="s">
        <v>31</v>
      </c>
      <c r="C68" s="40">
        <v>75.0</v>
      </c>
      <c r="D68" s="33"/>
      <c r="E68" s="33"/>
      <c r="F68" s="34"/>
      <c r="G68" s="33"/>
      <c r="H68" s="46"/>
      <c r="I68" s="34"/>
      <c r="J68" s="34"/>
      <c r="K68" s="34"/>
      <c r="L68" s="59"/>
      <c r="M68" s="59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2"/>
      <c r="B69" s="53" t="s">
        <v>32</v>
      </c>
      <c r="C69" s="53">
        <v>80.9</v>
      </c>
      <c r="D69" s="48"/>
      <c r="E69" s="48"/>
      <c r="F69" s="48"/>
      <c r="G69" s="48"/>
      <c r="H69" s="49"/>
      <c r="I69" s="34"/>
      <c r="J69" s="34"/>
      <c r="K69" s="34"/>
      <c r="L69" s="59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54" t="s">
        <v>33</v>
      </c>
      <c r="C70" s="33"/>
      <c r="D70" s="33"/>
      <c r="E70" s="33"/>
      <c r="F70" s="33"/>
      <c r="G70" s="33"/>
      <c r="H70" s="46"/>
      <c r="I70" s="34"/>
      <c r="J70" s="34"/>
      <c r="K70" s="34"/>
      <c r="L70" s="59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55"/>
      <c r="B71" s="33"/>
      <c r="C71" s="33"/>
      <c r="D71" s="33"/>
      <c r="E71" s="33"/>
      <c r="F71" s="33"/>
      <c r="G71" s="33"/>
      <c r="H71" s="46"/>
      <c r="I71" s="34"/>
      <c r="J71" s="34"/>
      <c r="K71" s="34"/>
      <c r="L71" s="59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55"/>
      <c r="B72" s="33"/>
      <c r="C72" s="33"/>
      <c r="D72" s="33"/>
      <c r="E72" s="33"/>
      <c r="F72" s="33"/>
      <c r="G72" s="33"/>
      <c r="H72" s="46"/>
      <c r="I72" s="34"/>
      <c r="J72" s="34"/>
      <c r="K72" s="34"/>
      <c r="L72" s="59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55"/>
      <c r="B73" s="33"/>
      <c r="C73" s="33"/>
      <c r="D73" s="33"/>
      <c r="E73" s="33"/>
      <c r="F73" s="33"/>
      <c r="G73" s="33"/>
      <c r="H73" s="46"/>
      <c r="I73" s="34"/>
      <c r="J73" s="34"/>
      <c r="K73" s="34"/>
      <c r="L73" s="34"/>
      <c r="M73" s="59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56"/>
      <c r="B74" s="48"/>
      <c r="C74" s="48"/>
      <c r="D74" s="48"/>
      <c r="E74" s="48"/>
      <c r="F74" s="48"/>
      <c r="G74" s="48"/>
      <c r="H74" s="49"/>
      <c r="I74" s="34"/>
      <c r="J74" s="34"/>
      <c r="K74" s="34"/>
      <c r="L74" s="59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59"/>
      <c r="M75" s="59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0">
    <mergeCell ref="A2:A4"/>
    <mergeCell ref="A5:A6"/>
    <mergeCell ref="A7:A8"/>
    <mergeCell ref="A9:A12"/>
    <mergeCell ref="A13:B13"/>
    <mergeCell ref="A21:A23"/>
    <mergeCell ref="A24:A25"/>
    <mergeCell ref="A47:A50"/>
    <mergeCell ref="A59:A61"/>
    <mergeCell ref="A62:A63"/>
    <mergeCell ref="A64:A65"/>
    <mergeCell ref="A66:A69"/>
    <mergeCell ref="A70:B70"/>
    <mergeCell ref="A26:A27"/>
    <mergeCell ref="A28:A31"/>
    <mergeCell ref="A32:B32"/>
    <mergeCell ref="A40:A42"/>
    <mergeCell ref="A43:A44"/>
    <mergeCell ref="A45:A46"/>
    <mergeCell ref="A51:B5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1.22" defaultRowHeight="15.0"/>
  <cols>
    <col customWidth="1" min="1" max="8" width="12.33"/>
  </cols>
  <sheetData>
    <row r="1">
      <c r="A1" s="64" t="s">
        <v>81</v>
      </c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65">
        <v>42352.0</v>
      </c>
      <c r="C3" s="66" t="s">
        <v>57</v>
      </c>
      <c r="D3" s="48"/>
      <c r="E3" s="53" t="s">
        <v>35</v>
      </c>
      <c r="F3" s="67" t="s">
        <v>36</v>
      </c>
      <c r="G3" s="67"/>
      <c r="H3" s="68" t="s">
        <v>82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64" t="s">
        <v>39</v>
      </c>
      <c r="D4" s="41"/>
      <c r="E4" s="41"/>
      <c r="F4" s="41"/>
      <c r="G4" s="43"/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36" t="s">
        <v>15</v>
      </c>
      <c r="C5" s="36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>
        <v>2019.0</v>
      </c>
      <c r="C6" s="48"/>
      <c r="D6" s="48"/>
      <c r="E6" s="48"/>
      <c r="F6" s="48"/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67"/>
      <c r="C8" s="48"/>
      <c r="D8" s="48"/>
      <c r="E8" s="48"/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52">
        <v>73.07</v>
      </c>
      <c r="D10" s="33"/>
      <c r="E10" s="33"/>
      <c r="F10" s="33"/>
      <c r="G10" s="33"/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40">
        <v>94.28</v>
      </c>
      <c r="D11" s="33"/>
      <c r="E11" s="33"/>
      <c r="G11" s="33"/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53">
        <v>97.72</v>
      </c>
      <c r="D12" s="48"/>
      <c r="E12" s="48"/>
      <c r="F12" s="48"/>
      <c r="G12" s="48"/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6"/>
      <c r="B17" s="48"/>
      <c r="C17" s="48"/>
      <c r="D17" s="48"/>
      <c r="E17" s="48"/>
      <c r="F17" s="48"/>
      <c r="G17" s="48"/>
      <c r="H17" s="4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40"/>
      <c r="B58" s="33"/>
      <c r="C58" s="33"/>
      <c r="D58" s="33"/>
      <c r="E58" s="33"/>
      <c r="F58" s="33"/>
      <c r="G58" s="33"/>
      <c r="H58" s="33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</sheetData>
  <mergeCells count="5">
    <mergeCell ref="A2:A4"/>
    <mergeCell ref="A5:A6"/>
    <mergeCell ref="A7:A8"/>
    <mergeCell ref="A9:A12"/>
    <mergeCell ref="A13:B1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21.67"/>
  </cols>
  <sheetData>
    <row r="1">
      <c r="A1" s="40" t="s">
        <v>83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3"/>
      <c r="J2" s="33"/>
      <c r="K2" s="33"/>
    </row>
    <row r="3">
      <c r="A3" s="6"/>
      <c r="B3" s="69">
        <v>41888.0</v>
      </c>
      <c r="C3" s="70">
        <v>41913.0</v>
      </c>
      <c r="D3" s="33"/>
      <c r="E3" s="40" t="s">
        <v>41</v>
      </c>
      <c r="F3" s="40" t="s">
        <v>42</v>
      </c>
      <c r="G3" s="71" t="s">
        <v>84</v>
      </c>
      <c r="H3" s="72" t="s">
        <v>85</v>
      </c>
      <c r="I3" s="33"/>
      <c r="J3" s="33"/>
      <c r="K3" s="33"/>
    </row>
    <row r="4">
      <c r="A4" s="12"/>
      <c r="B4" s="41" t="s">
        <v>13</v>
      </c>
      <c r="C4" s="41" t="s">
        <v>45</v>
      </c>
      <c r="D4" s="73"/>
      <c r="E4" s="73"/>
      <c r="F4" s="73"/>
      <c r="G4" s="43"/>
      <c r="H4" s="44"/>
      <c r="I4" s="33"/>
      <c r="J4" s="33"/>
      <c r="K4" s="33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3"/>
      <c r="J5" s="33"/>
      <c r="K5" s="33"/>
    </row>
    <row r="6">
      <c r="A6" s="12"/>
      <c r="B6" s="47" t="s">
        <v>86</v>
      </c>
      <c r="C6" s="53" t="s">
        <v>87</v>
      </c>
      <c r="D6" s="48"/>
      <c r="E6" s="48"/>
      <c r="F6" s="48"/>
      <c r="G6" s="48"/>
      <c r="H6" s="49"/>
      <c r="I6" s="33"/>
      <c r="J6" s="33"/>
      <c r="K6" s="33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3"/>
      <c r="J7" s="33"/>
      <c r="K7" s="33"/>
    </row>
    <row r="8">
      <c r="A8" s="12"/>
      <c r="B8" s="53" t="s">
        <v>88</v>
      </c>
      <c r="C8" s="53" t="s">
        <v>89</v>
      </c>
      <c r="D8" s="48"/>
      <c r="E8" s="48"/>
      <c r="F8" s="48"/>
      <c r="G8" s="48"/>
      <c r="H8" s="49"/>
      <c r="I8" s="33"/>
      <c r="J8" s="33"/>
      <c r="K8" s="33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3"/>
      <c r="J9" s="33"/>
      <c r="K9" s="33"/>
    </row>
    <row r="10">
      <c r="A10" s="6"/>
      <c r="B10" s="40" t="s">
        <v>30</v>
      </c>
      <c r="C10" s="52">
        <v>59.4</v>
      </c>
      <c r="D10" s="40">
        <v>94.11</v>
      </c>
      <c r="E10" s="33"/>
      <c r="F10" s="33"/>
      <c r="G10" s="33"/>
      <c r="H10" s="46"/>
      <c r="I10" s="33"/>
      <c r="J10" s="33"/>
      <c r="K10" s="33"/>
    </row>
    <row r="11">
      <c r="A11" s="6"/>
      <c r="B11" s="40" t="s">
        <v>31</v>
      </c>
      <c r="C11" s="40">
        <v>90.0</v>
      </c>
      <c r="D11" s="33"/>
      <c r="E11" s="33"/>
      <c r="G11" s="33"/>
      <c r="H11" s="46"/>
      <c r="I11" s="33"/>
      <c r="J11" s="33"/>
      <c r="K11" s="33"/>
    </row>
    <row r="12">
      <c r="A12" s="12"/>
      <c r="B12" s="53" t="s">
        <v>32</v>
      </c>
      <c r="C12" s="53">
        <v>94.28</v>
      </c>
      <c r="D12" s="48"/>
      <c r="E12" s="48"/>
      <c r="F12" s="48"/>
      <c r="G12" s="48"/>
      <c r="H12" s="49"/>
      <c r="I12" s="33"/>
      <c r="J12" s="33"/>
      <c r="K12" s="33"/>
    </row>
    <row r="13">
      <c r="A13" s="54" t="s">
        <v>33</v>
      </c>
      <c r="C13" s="33"/>
      <c r="D13" s="33"/>
      <c r="E13" s="33"/>
      <c r="F13" s="33"/>
      <c r="G13" s="33"/>
      <c r="H13" s="46"/>
      <c r="I13" s="33"/>
      <c r="J13" s="33"/>
      <c r="K13" s="33"/>
    </row>
    <row r="14">
      <c r="A14" s="55"/>
      <c r="B14" s="33"/>
      <c r="C14" s="33"/>
      <c r="D14" s="33"/>
      <c r="E14" s="33"/>
      <c r="F14" s="33"/>
      <c r="G14" s="33"/>
      <c r="H14" s="46"/>
      <c r="I14" s="33"/>
      <c r="J14" s="33"/>
      <c r="K14" s="33"/>
    </row>
    <row r="15">
      <c r="A15" s="55"/>
      <c r="B15" s="33"/>
      <c r="C15" s="33"/>
      <c r="D15" s="33"/>
      <c r="E15" s="33"/>
      <c r="F15" s="33"/>
      <c r="G15" s="33"/>
      <c r="H15" s="46"/>
      <c r="I15" s="33"/>
      <c r="J15" s="33"/>
      <c r="K15" s="33"/>
    </row>
    <row r="16">
      <c r="A16" s="55"/>
      <c r="B16" s="33"/>
      <c r="C16" s="33"/>
      <c r="D16" s="33"/>
      <c r="E16" s="33"/>
      <c r="F16" s="33"/>
      <c r="G16" s="33"/>
      <c r="H16" s="46"/>
      <c r="I16" s="33"/>
      <c r="J16" s="33"/>
      <c r="K16" s="33"/>
    </row>
    <row r="17">
      <c r="A17" s="56"/>
      <c r="B17" s="48"/>
      <c r="C17" s="48"/>
      <c r="D17" s="48"/>
      <c r="E17" s="48"/>
      <c r="F17" s="48"/>
      <c r="G17" s="48"/>
      <c r="H17" s="49"/>
      <c r="I17" s="33"/>
      <c r="J17" s="33"/>
      <c r="K17" s="33"/>
    </row>
    <row r="18">
      <c r="I18" s="33"/>
      <c r="J18" s="33"/>
      <c r="K18" s="33"/>
    </row>
    <row r="19">
      <c r="I19" s="33"/>
      <c r="J19" s="33"/>
      <c r="K19" s="33"/>
    </row>
    <row r="20">
      <c r="A20" s="40" t="s">
        <v>90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</row>
    <row r="21">
      <c r="A21" s="35" t="s">
        <v>1</v>
      </c>
      <c r="B21" s="36" t="s">
        <v>2</v>
      </c>
      <c r="C21" s="36" t="s">
        <v>3</v>
      </c>
      <c r="D21" s="36" t="s">
        <v>4</v>
      </c>
      <c r="E21" s="36" t="s">
        <v>5</v>
      </c>
      <c r="F21" s="36" t="s">
        <v>6</v>
      </c>
      <c r="G21" s="36" t="s">
        <v>7</v>
      </c>
      <c r="H21" s="37" t="s">
        <v>8</v>
      </c>
      <c r="I21" s="33"/>
      <c r="J21" s="33"/>
      <c r="K21" s="33"/>
    </row>
    <row r="22">
      <c r="A22" s="6"/>
      <c r="B22" s="69">
        <v>41908.0</v>
      </c>
      <c r="C22" s="64" t="s">
        <v>91</v>
      </c>
      <c r="D22" s="40">
        <v>2020.0</v>
      </c>
      <c r="E22" s="40" t="s">
        <v>92</v>
      </c>
      <c r="F22" s="40" t="s">
        <v>93</v>
      </c>
      <c r="G22" s="40" t="s">
        <v>94</v>
      </c>
      <c r="H22" s="72" t="s">
        <v>95</v>
      </c>
      <c r="I22" s="33"/>
      <c r="J22" s="33"/>
      <c r="K22" s="33"/>
    </row>
    <row r="23">
      <c r="A23" s="12"/>
      <c r="B23" s="41" t="s">
        <v>13</v>
      </c>
      <c r="C23" s="41" t="s">
        <v>96</v>
      </c>
      <c r="D23" s="73"/>
      <c r="E23" s="73"/>
      <c r="F23" s="73"/>
      <c r="G23" s="43"/>
      <c r="H23" s="74" t="s">
        <v>97</v>
      </c>
      <c r="I23" s="33"/>
      <c r="J23" s="33"/>
      <c r="K23" s="33"/>
    </row>
    <row r="24">
      <c r="A24" s="45" t="s">
        <v>14</v>
      </c>
      <c r="B24" s="40" t="s">
        <v>15</v>
      </c>
      <c r="C24" s="40" t="s">
        <v>16</v>
      </c>
      <c r="D24" s="40" t="s">
        <v>17</v>
      </c>
      <c r="E24" s="40" t="s">
        <v>18</v>
      </c>
      <c r="F24" s="40" t="s">
        <v>19</v>
      </c>
      <c r="G24" s="40" t="s">
        <v>20</v>
      </c>
      <c r="H24" s="46"/>
      <c r="I24" s="33"/>
      <c r="J24" s="33"/>
      <c r="K24" s="33"/>
    </row>
    <row r="25">
      <c r="A25" s="12"/>
      <c r="B25" s="47" t="s">
        <v>98</v>
      </c>
      <c r="C25" s="53" t="s">
        <v>87</v>
      </c>
      <c r="D25" s="48"/>
      <c r="E25" s="48"/>
      <c r="F25" s="48"/>
      <c r="G25" s="48"/>
      <c r="H25" s="49"/>
      <c r="I25" s="33"/>
      <c r="J25" s="33"/>
      <c r="K25" s="33"/>
    </row>
    <row r="26">
      <c r="A26" s="45" t="s">
        <v>21</v>
      </c>
      <c r="B26" s="40" t="s">
        <v>22</v>
      </c>
      <c r="C26" s="40" t="s">
        <v>23</v>
      </c>
      <c r="D26" s="40" t="s">
        <v>24</v>
      </c>
      <c r="E26" s="40" t="s">
        <v>25</v>
      </c>
      <c r="F26" s="40" t="s">
        <v>26</v>
      </c>
      <c r="G26" s="40" t="s">
        <v>27</v>
      </c>
      <c r="H26" s="46"/>
      <c r="I26" s="33"/>
      <c r="J26" s="33"/>
      <c r="K26" s="33"/>
    </row>
    <row r="27">
      <c r="A27" s="12"/>
      <c r="B27" s="53" t="s">
        <v>99</v>
      </c>
      <c r="C27" s="53" t="s">
        <v>100</v>
      </c>
      <c r="D27" s="48"/>
      <c r="E27" s="48"/>
      <c r="F27" s="48"/>
      <c r="G27" s="48"/>
      <c r="H27" s="49"/>
      <c r="I27" s="33"/>
      <c r="J27" s="33"/>
      <c r="K27" s="33"/>
    </row>
    <row r="28">
      <c r="A28" s="45" t="s">
        <v>28</v>
      </c>
      <c r="B28" s="33"/>
      <c r="C28" s="40" t="s">
        <v>15</v>
      </c>
      <c r="D28" s="40" t="s">
        <v>16</v>
      </c>
      <c r="E28" s="40" t="s">
        <v>17</v>
      </c>
      <c r="F28" s="40" t="s">
        <v>18</v>
      </c>
      <c r="G28" s="40" t="s">
        <v>19</v>
      </c>
      <c r="H28" s="51" t="s">
        <v>20</v>
      </c>
      <c r="I28" s="33"/>
      <c r="J28" s="33"/>
      <c r="K28" s="33"/>
    </row>
    <row r="29">
      <c r="A29" s="6"/>
      <c r="B29" s="40" t="s">
        <v>30</v>
      </c>
      <c r="C29" s="52">
        <v>55.1</v>
      </c>
      <c r="D29" s="40">
        <v>100.0</v>
      </c>
      <c r="E29" s="33"/>
      <c r="F29" s="33"/>
      <c r="G29" s="33"/>
      <c r="H29" s="46"/>
      <c r="I29" s="33"/>
      <c r="J29" s="33"/>
      <c r="K29" s="33"/>
    </row>
    <row r="30">
      <c r="A30" s="6"/>
      <c r="B30" s="40" t="s">
        <v>31</v>
      </c>
      <c r="C30" s="40">
        <v>84.0</v>
      </c>
      <c r="D30" s="33"/>
      <c r="E30" s="33"/>
      <c r="G30" s="33"/>
      <c r="H30" s="46"/>
      <c r="I30" s="33"/>
      <c r="J30" s="33"/>
      <c r="K30" s="33"/>
    </row>
    <row r="31">
      <c r="A31" s="12"/>
      <c r="B31" s="53" t="s">
        <v>32</v>
      </c>
      <c r="C31" s="53">
        <v>94.0</v>
      </c>
      <c r="D31" s="48"/>
      <c r="E31" s="48"/>
      <c r="F31" s="48"/>
      <c r="G31" s="48"/>
      <c r="H31" s="49"/>
      <c r="I31" s="33"/>
      <c r="J31" s="33"/>
      <c r="K31" s="33"/>
    </row>
    <row r="32">
      <c r="A32" s="54" t="s">
        <v>33</v>
      </c>
      <c r="C32" s="33"/>
      <c r="D32" s="33"/>
      <c r="E32" s="33"/>
      <c r="F32" s="33"/>
      <c r="G32" s="33"/>
      <c r="H32" s="46"/>
      <c r="I32" s="33"/>
      <c r="J32" s="33"/>
      <c r="K32" s="33"/>
    </row>
    <row r="33">
      <c r="A33" s="55"/>
      <c r="B33" s="33"/>
      <c r="C33" s="33"/>
      <c r="D33" s="33"/>
      <c r="E33" s="33"/>
      <c r="F33" s="33"/>
      <c r="G33" s="33"/>
      <c r="H33" s="46"/>
      <c r="I33" s="33"/>
      <c r="J33" s="33"/>
      <c r="K33" s="33"/>
    </row>
    <row r="34">
      <c r="A34" s="55"/>
      <c r="B34" s="33"/>
      <c r="C34" s="33"/>
      <c r="D34" s="33"/>
      <c r="E34" s="33"/>
      <c r="F34" s="33"/>
      <c r="G34" s="33"/>
      <c r="H34" s="46"/>
      <c r="I34" s="33"/>
      <c r="J34" s="33"/>
      <c r="K34" s="33"/>
    </row>
    <row r="35">
      <c r="A35" s="55"/>
      <c r="B35" s="33"/>
      <c r="C35" s="33"/>
      <c r="D35" s="33"/>
      <c r="E35" s="33"/>
      <c r="F35" s="33"/>
      <c r="G35" s="33"/>
      <c r="H35" s="46"/>
      <c r="I35" s="33"/>
      <c r="J35" s="33"/>
      <c r="K35" s="33"/>
    </row>
    <row r="36">
      <c r="A36" s="56"/>
      <c r="B36" s="48"/>
      <c r="C36" s="48"/>
      <c r="D36" s="48"/>
      <c r="E36" s="48"/>
      <c r="F36" s="48"/>
      <c r="G36" s="48"/>
      <c r="H36" s="49"/>
      <c r="I36" s="33"/>
      <c r="J36" s="33"/>
      <c r="K36" s="33"/>
    </row>
    <row r="37">
      <c r="I37" s="33"/>
      <c r="J37" s="33"/>
      <c r="K37" s="33"/>
    </row>
    <row r="38">
      <c r="I38" s="33"/>
      <c r="J38" s="33"/>
      <c r="K38" s="33"/>
    </row>
    <row r="39">
      <c r="A39" s="64" t="s">
        <v>101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</row>
    <row r="40">
      <c r="A40" s="35" t="s">
        <v>1</v>
      </c>
      <c r="B40" s="36" t="s">
        <v>2</v>
      </c>
      <c r="C40" s="36" t="s">
        <v>3</v>
      </c>
      <c r="D40" s="36" t="s">
        <v>4</v>
      </c>
      <c r="E40" s="36" t="s">
        <v>5</v>
      </c>
      <c r="F40" s="36" t="s">
        <v>6</v>
      </c>
      <c r="G40" s="36" t="s">
        <v>7</v>
      </c>
      <c r="H40" s="37" t="s">
        <v>8</v>
      </c>
      <c r="I40" s="33"/>
      <c r="J40" s="33"/>
      <c r="K40" s="33"/>
    </row>
    <row r="41">
      <c r="A41" s="6"/>
      <c r="B41" s="75">
        <v>42233.0</v>
      </c>
      <c r="C41" s="40"/>
      <c r="D41" s="76">
        <v>44652.0</v>
      </c>
      <c r="E41" s="64" t="s">
        <v>102</v>
      </c>
      <c r="F41" s="64" t="s">
        <v>103</v>
      </c>
      <c r="G41" s="64">
        <v>9.39828177E8</v>
      </c>
      <c r="H41" s="64">
        <v>9.33802939E8</v>
      </c>
      <c r="I41" s="33"/>
      <c r="J41" s="33"/>
      <c r="K41" s="33"/>
    </row>
    <row r="42">
      <c r="A42" s="12"/>
      <c r="B42" s="41" t="s">
        <v>13</v>
      </c>
      <c r="C42" s="64" t="s">
        <v>104</v>
      </c>
      <c r="D42" s="41"/>
      <c r="E42" s="41"/>
      <c r="F42" s="41"/>
      <c r="G42" s="43"/>
      <c r="H42" s="44"/>
      <c r="I42" s="33"/>
      <c r="J42" s="33"/>
      <c r="K42" s="33"/>
    </row>
    <row r="43">
      <c r="A43" s="45" t="s">
        <v>14</v>
      </c>
      <c r="B43" s="40" t="s">
        <v>15</v>
      </c>
      <c r="C43" s="40" t="s">
        <v>16</v>
      </c>
      <c r="D43" s="40" t="s">
        <v>17</v>
      </c>
      <c r="E43" s="40" t="s">
        <v>18</v>
      </c>
      <c r="F43" s="40" t="s">
        <v>19</v>
      </c>
      <c r="G43" s="40" t="s">
        <v>20</v>
      </c>
      <c r="H43" s="46"/>
      <c r="I43" s="33"/>
      <c r="J43" s="33"/>
      <c r="K43" s="33"/>
    </row>
    <row r="44">
      <c r="A44" s="12"/>
      <c r="B44" s="47">
        <v>108.0</v>
      </c>
      <c r="C44" s="53" t="s">
        <v>87</v>
      </c>
      <c r="D44" s="48"/>
      <c r="E44" s="48"/>
      <c r="F44" s="48"/>
      <c r="G44" s="48"/>
      <c r="H44" s="49"/>
      <c r="I44" s="33"/>
      <c r="J44" s="33"/>
      <c r="K44" s="33"/>
    </row>
    <row r="45">
      <c r="A45" s="45" t="s">
        <v>21</v>
      </c>
      <c r="B45" s="40" t="s">
        <v>22</v>
      </c>
      <c r="C45" s="40" t="s">
        <v>23</v>
      </c>
      <c r="D45" s="40" t="s">
        <v>24</v>
      </c>
      <c r="E45" s="40" t="s">
        <v>25</v>
      </c>
      <c r="F45" s="40" t="s">
        <v>26</v>
      </c>
      <c r="G45" s="40" t="s">
        <v>27</v>
      </c>
      <c r="H45" s="46"/>
      <c r="I45" s="33"/>
      <c r="J45" s="33"/>
      <c r="K45" s="33"/>
    </row>
    <row r="46">
      <c r="A46" s="12"/>
      <c r="B46" s="64" t="s">
        <v>105</v>
      </c>
      <c r="C46" s="53" t="s">
        <v>106</v>
      </c>
      <c r="D46" s="48"/>
      <c r="E46" s="48"/>
      <c r="F46" s="48"/>
      <c r="G46" s="48"/>
      <c r="H46" s="49"/>
      <c r="I46" s="33"/>
      <c r="J46" s="33"/>
      <c r="K46" s="33"/>
    </row>
    <row r="47">
      <c r="A47" s="45" t="s">
        <v>28</v>
      </c>
      <c r="B47" s="33"/>
      <c r="C47" s="40" t="s">
        <v>15</v>
      </c>
      <c r="D47" s="40" t="s">
        <v>16</v>
      </c>
      <c r="E47" s="40" t="s">
        <v>17</v>
      </c>
      <c r="F47" s="40" t="s">
        <v>18</v>
      </c>
      <c r="G47" s="40" t="s">
        <v>19</v>
      </c>
      <c r="H47" s="51" t="s">
        <v>20</v>
      </c>
      <c r="I47" s="33"/>
      <c r="J47" s="33"/>
      <c r="K47" s="33"/>
    </row>
    <row r="48">
      <c r="A48" s="6"/>
      <c r="B48" s="40" t="s">
        <v>30</v>
      </c>
      <c r="C48" s="52"/>
      <c r="D48" s="40">
        <v>63.72</v>
      </c>
      <c r="E48" s="33"/>
      <c r="F48" s="33"/>
      <c r="G48" s="33"/>
      <c r="H48" s="46"/>
      <c r="I48" s="33"/>
      <c r="J48" s="33"/>
      <c r="K48" s="33"/>
    </row>
    <row r="49">
      <c r="A49" s="6"/>
      <c r="B49" s="40" t="s">
        <v>31</v>
      </c>
      <c r="C49" s="33"/>
      <c r="D49" s="40">
        <v>62.0</v>
      </c>
      <c r="E49" s="33"/>
      <c r="G49" s="33"/>
      <c r="H49" s="46"/>
      <c r="I49" s="33"/>
      <c r="J49" s="33"/>
      <c r="K49" s="33"/>
    </row>
    <row r="50">
      <c r="A50" s="12"/>
      <c r="B50" s="53" t="s">
        <v>32</v>
      </c>
      <c r="C50" s="48"/>
      <c r="D50" s="53">
        <v>77.14</v>
      </c>
      <c r="E50" s="48"/>
      <c r="F50" s="48"/>
      <c r="G50" s="48"/>
      <c r="H50" s="49"/>
      <c r="I50" s="33"/>
      <c r="J50" s="33"/>
      <c r="K50" s="33"/>
    </row>
    <row r="51">
      <c r="A51" s="54" t="s">
        <v>33</v>
      </c>
      <c r="C51" s="33"/>
      <c r="D51" s="33"/>
      <c r="E51" s="33"/>
      <c r="F51" s="33"/>
      <c r="G51" s="33"/>
      <c r="H51" s="46"/>
      <c r="I51" s="33"/>
      <c r="J51" s="33"/>
      <c r="K51" s="33"/>
    </row>
    <row r="52">
      <c r="A52" s="54" t="s">
        <v>107</v>
      </c>
      <c r="B52" s="33"/>
      <c r="C52" s="33"/>
      <c r="D52" s="33"/>
      <c r="E52" s="33"/>
      <c r="F52" s="33"/>
      <c r="G52" s="33"/>
      <c r="H52" s="46"/>
      <c r="I52" s="33"/>
      <c r="J52" s="33"/>
      <c r="K52" s="33"/>
    </row>
    <row r="53">
      <c r="A53" s="55"/>
      <c r="B53" s="33"/>
      <c r="C53" s="33"/>
      <c r="D53" s="33"/>
      <c r="E53" s="33"/>
      <c r="F53" s="33"/>
      <c r="G53" s="33"/>
      <c r="H53" s="46"/>
      <c r="I53" s="33"/>
      <c r="J53" s="33"/>
      <c r="K53" s="33"/>
    </row>
    <row r="54">
      <c r="A54" s="55"/>
      <c r="B54" s="33"/>
      <c r="C54" s="33"/>
      <c r="D54" s="33"/>
      <c r="E54" s="33"/>
      <c r="F54" s="33"/>
      <c r="G54" s="33"/>
      <c r="H54" s="46"/>
      <c r="I54" s="33"/>
      <c r="J54" s="33"/>
      <c r="K54" s="33"/>
    </row>
    <row r="55">
      <c r="A55" s="56"/>
      <c r="B55" s="48"/>
      <c r="C55" s="48"/>
      <c r="D55" s="48"/>
      <c r="E55" s="48"/>
      <c r="F55" s="48"/>
      <c r="G55" s="48"/>
      <c r="H55" s="49"/>
      <c r="I55" s="33"/>
      <c r="J55" s="33"/>
      <c r="K55" s="33"/>
    </row>
    <row r="56">
      <c r="I56" s="33"/>
      <c r="J56" s="33"/>
      <c r="K56" s="33"/>
    </row>
    <row r="57">
      <c r="I57" s="33"/>
      <c r="J57" s="33"/>
      <c r="K57" s="33"/>
    </row>
    <row r="58">
      <c r="I58" s="33"/>
      <c r="J58" s="33"/>
      <c r="K58" s="33"/>
    </row>
    <row r="59">
      <c r="I59" s="33"/>
      <c r="J59" s="33"/>
      <c r="K59" s="33"/>
    </row>
  </sheetData>
  <mergeCells count="17">
    <mergeCell ref="A2:A4"/>
    <mergeCell ref="C4:F4"/>
    <mergeCell ref="A5:A6"/>
    <mergeCell ref="A7:A8"/>
    <mergeCell ref="A9:A12"/>
    <mergeCell ref="A13:B13"/>
    <mergeCell ref="C23:F23"/>
    <mergeCell ref="A45:A46"/>
    <mergeCell ref="A47:A50"/>
    <mergeCell ref="A51:B51"/>
    <mergeCell ref="A21:A23"/>
    <mergeCell ref="A24:A25"/>
    <mergeCell ref="A26:A27"/>
    <mergeCell ref="A28:A31"/>
    <mergeCell ref="A32:B32"/>
    <mergeCell ref="A40:A42"/>
    <mergeCell ref="A43:A4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6D7A8"/>
    <outlinePr summaryBelow="0" summaryRight="0"/>
  </sheetPr>
  <sheetViews>
    <sheetView workbookViewId="0"/>
  </sheetViews>
  <sheetFormatPr customHeight="1" defaultColWidth="11.22" defaultRowHeight="15.0"/>
  <cols>
    <col customWidth="1" min="1" max="2" width="12.33"/>
    <col customWidth="1" min="3" max="3" width="12.11"/>
    <col customWidth="1" min="4" max="7" width="12.33"/>
    <col customWidth="1" min="8" max="8" width="16.78"/>
  </cols>
  <sheetData>
    <row r="1">
      <c r="A1" s="40" t="s">
        <v>108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77" t="s">
        <v>1</v>
      </c>
      <c r="B2" s="77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3"/>
      <c r="J2" s="33"/>
      <c r="K2" s="33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78"/>
      <c r="B3" s="79">
        <v>41690.0</v>
      </c>
      <c r="C3" s="53">
        <v>2014.0</v>
      </c>
      <c r="D3" s="53">
        <v>2020.0</v>
      </c>
      <c r="E3" s="40" t="s">
        <v>73</v>
      </c>
      <c r="F3" s="40" t="s">
        <v>74</v>
      </c>
      <c r="G3" s="64">
        <v>9.63308504E8</v>
      </c>
      <c r="H3" s="51">
        <v>9.21129092E8</v>
      </c>
      <c r="I3" s="33"/>
      <c r="J3" s="33"/>
      <c r="K3" s="33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80"/>
      <c r="B4" s="81" t="s">
        <v>13</v>
      </c>
      <c r="C4" s="82" t="s">
        <v>75</v>
      </c>
      <c r="D4" s="67"/>
      <c r="E4" s="43"/>
      <c r="F4" s="43"/>
      <c r="G4" s="43"/>
      <c r="H4" s="83">
        <v>9.63308504E8</v>
      </c>
      <c r="I4" s="33"/>
      <c r="J4" s="33"/>
      <c r="K4" s="33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3"/>
      <c r="J5" s="33"/>
      <c r="K5" s="33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 t="s">
        <v>98</v>
      </c>
      <c r="C6" s="53" t="s">
        <v>109</v>
      </c>
      <c r="D6" s="48"/>
      <c r="E6" s="48"/>
      <c r="F6" s="48"/>
      <c r="G6" s="48"/>
      <c r="H6" s="49"/>
      <c r="I6" s="33"/>
      <c r="J6" s="33"/>
      <c r="K6" s="33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3"/>
      <c r="J7" s="33"/>
      <c r="K7" s="33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 t="s">
        <v>77</v>
      </c>
      <c r="C8" s="53" t="s">
        <v>110</v>
      </c>
      <c r="D8" s="48"/>
      <c r="E8" s="48"/>
      <c r="F8" s="48"/>
      <c r="G8" s="48"/>
      <c r="H8" s="49"/>
      <c r="I8" s="33"/>
      <c r="J8" s="33"/>
      <c r="K8" s="33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3"/>
      <c r="J9" s="33"/>
      <c r="K9" s="33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40">
        <v>83.6</v>
      </c>
      <c r="D10" s="40">
        <v>89.85</v>
      </c>
      <c r="E10" s="33"/>
      <c r="F10" s="33"/>
      <c r="G10" s="33"/>
      <c r="H10" s="46"/>
      <c r="I10" s="33"/>
      <c r="J10" s="33"/>
      <c r="K10" s="33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40">
        <v>66.0</v>
      </c>
      <c r="D11" s="40">
        <v>87.25</v>
      </c>
      <c r="E11" s="33"/>
      <c r="F11" s="33"/>
      <c r="G11" s="33"/>
      <c r="H11" s="46"/>
      <c r="I11" s="33"/>
      <c r="J11" s="33"/>
      <c r="K11" s="33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53">
        <v>72.0</v>
      </c>
      <c r="D12" s="48"/>
      <c r="E12" s="48"/>
      <c r="F12" s="48"/>
      <c r="G12" s="48"/>
      <c r="H12" s="49"/>
      <c r="I12" s="33"/>
      <c r="J12" s="33"/>
      <c r="K12" s="33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C13" s="33"/>
      <c r="D13" s="33"/>
      <c r="E13" s="33"/>
      <c r="F13" s="33"/>
      <c r="G13" s="33"/>
      <c r="H13" s="46"/>
      <c r="I13" s="33"/>
      <c r="J13" s="33"/>
      <c r="K13" s="33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3"/>
      <c r="J14" s="33"/>
      <c r="K14" s="33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3"/>
      <c r="J15" s="33"/>
      <c r="K15" s="33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I16" s="33"/>
      <c r="J16" s="33"/>
      <c r="K16" s="33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6"/>
      <c r="B17" s="48"/>
      <c r="C17" s="48"/>
      <c r="D17" s="48"/>
      <c r="E17" s="48"/>
      <c r="F17" s="48"/>
      <c r="G17" s="48"/>
      <c r="H17" s="46"/>
      <c r="I17" s="33"/>
      <c r="J17" s="33"/>
      <c r="K17" s="33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81"/>
      <c r="B18" s="48"/>
      <c r="C18" s="48"/>
      <c r="D18" s="48"/>
      <c r="E18" s="48"/>
      <c r="F18" s="48"/>
      <c r="G18" s="48"/>
      <c r="H18" s="43"/>
      <c r="I18" s="33"/>
      <c r="J18" s="33"/>
      <c r="K18" s="33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I19" s="33"/>
      <c r="J19" s="33"/>
      <c r="K19" s="33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I20" s="33"/>
      <c r="J20" s="33"/>
      <c r="K20" s="33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40" t="s">
        <v>111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5" t="s">
        <v>1</v>
      </c>
      <c r="B22" s="36" t="s">
        <v>2</v>
      </c>
      <c r="C22" s="36" t="s">
        <v>3</v>
      </c>
      <c r="D22" s="36" t="s">
        <v>4</v>
      </c>
      <c r="E22" s="36" t="s">
        <v>5</v>
      </c>
      <c r="F22" s="36" t="s">
        <v>6</v>
      </c>
      <c r="G22" s="36" t="s">
        <v>7</v>
      </c>
      <c r="H22" s="37" t="s">
        <v>8</v>
      </c>
      <c r="I22" s="33"/>
      <c r="J22" s="33"/>
      <c r="K22" s="33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6"/>
      <c r="B23" s="69">
        <v>41711.0</v>
      </c>
      <c r="C23" s="40">
        <v>2014.0</v>
      </c>
      <c r="D23" s="40">
        <v>2020.0</v>
      </c>
      <c r="E23" s="40" t="s">
        <v>112</v>
      </c>
      <c r="F23" s="40" t="s">
        <v>113</v>
      </c>
      <c r="G23" s="40" t="s">
        <v>114</v>
      </c>
      <c r="H23" s="84">
        <v>9.37824724E8</v>
      </c>
      <c r="I23" s="33"/>
      <c r="J23" s="33"/>
      <c r="K23" s="33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2"/>
      <c r="B24" s="41" t="s">
        <v>13</v>
      </c>
      <c r="C24" s="41" t="s">
        <v>115</v>
      </c>
      <c r="D24" s="43"/>
      <c r="E24" s="43"/>
      <c r="F24" s="43"/>
      <c r="G24" s="43"/>
      <c r="H24" s="85">
        <v>9.37900124E8</v>
      </c>
      <c r="I24" s="33"/>
      <c r="J24" s="33"/>
      <c r="K24" s="33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5" t="s">
        <v>14</v>
      </c>
      <c r="B25" s="40" t="s">
        <v>15</v>
      </c>
      <c r="C25" s="40" t="s">
        <v>16</v>
      </c>
      <c r="D25" s="40" t="s">
        <v>17</v>
      </c>
      <c r="E25" s="40" t="s">
        <v>18</v>
      </c>
      <c r="F25" s="40" t="s">
        <v>19</v>
      </c>
      <c r="G25" s="40" t="s">
        <v>20</v>
      </c>
      <c r="H25" s="46"/>
      <c r="I25" s="33"/>
      <c r="J25" s="33"/>
      <c r="K25" s="33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12"/>
      <c r="B26" s="47" t="s">
        <v>98</v>
      </c>
      <c r="C26" s="53" t="s">
        <v>109</v>
      </c>
      <c r="D26" s="48"/>
      <c r="E26" s="48"/>
      <c r="F26" s="48"/>
      <c r="G26" s="48"/>
      <c r="H26" s="49"/>
      <c r="I26" s="33"/>
      <c r="J26" s="33"/>
      <c r="K26" s="33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45" t="s">
        <v>21</v>
      </c>
      <c r="B27" s="40" t="s">
        <v>22</v>
      </c>
      <c r="C27" s="40" t="s">
        <v>23</v>
      </c>
      <c r="D27" s="40" t="s">
        <v>24</v>
      </c>
      <c r="E27" s="40" t="s">
        <v>25</v>
      </c>
      <c r="F27" s="40" t="s">
        <v>26</v>
      </c>
      <c r="G27" s="40" t="s">
        <v>27</v>
      </c>
      <c r="H27" s="46"/>
      <c r="I27" s="33"/>
      <c r="J27" s="33"/>
      <c r="K27" s="33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12"/>
      <c r="B28" s="53" t="s">
        <v>116</v>
      </c>
      <c r="C28" s="53" t="s">
        <v>117</v>
      </c>
      <c r="D28" s="48"/>
      <c r="E28" s="48"/>
      <c r="F28" s="48"/>
      <c r="G28" s="48"/>
      <c r="H28" s="49"/>
      <c r="I28" s="33"/>
      <c r="J28" s="33"/>
      <c r="K28" s="33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45" t="s">
        <v>28</v>
      </c>
      <c r="B29" s="33"/>
      <c r="C29" s="40" t="s">
        <v>15</v>
      </c>
      <c r="D29" s="40" t="s">
        <v>16</v>
      </c>
      <c r="E29" s="40" t="s">
        <v>17</v>
      </c>
      <c r="F29" s="40" t="s">
        <v>18</v>
      </c>
      <c r="G29" s="40" t="s">
        <v>19</v>
      </c>
      <c r="H29" s="51" t="s">
        <v>20</v>
      </c>
      <c r="I29" s="33"/>
      <c r="J29" s="33"/>
      <c r="K29" s="33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6"/>
      <c r="B30" s="40" t="s">
        <v>30</v>
      </c>
      <c r="C30" s="40">
        <v>89.7</v>
      </c>
      <c r="D30" s="40">
        <v>96.95</v>
      </c>
      <c r="E30" s="33"/>
      <c r="F30" s="33"/>
      <c r="G30" s="33"/>
      <c r="H30" s="46"/>
      <c r="I30" s="33"/>
      <c r="J30" s="33"/>
      <c r="K30" s="33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6"/>
      <c r="B31" s="40" t="s">
        <v>31</v>
      </c>
      <c r="C31" s="40">
        <v>90.0</v>
      </c>
      <c r="D31" s="40">
        <v>100.0</v>
      </c>
      <c r="E31" s="33"/>
      <c r="F31" s="33"/>
      <c r="G31" s="33"/>
      <c r="H31" s="46"/>
      <c r="I31" s="33"/>
      <c r="J31" s="33"/>
      <c r="K31" s="33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2"/>
      <c r="B32" s="53" t="s">
        <v>32</v>
      </c>
      <c r="C32" s="53">
        <v>96.0</v>
      </c>
      <c r="D32" s="48"/>
      <c r="E32" s="48"/>
      <c r="F32" s="48"/>
      <c r="G32" s="48"/>
      <c r="H32" s="49"/>
      <c r="I32" s="33"/>
      <c r="J32" s="33"/>
      <c r="K32" s="33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4" t="s">
        <v>33</v>
      </c>
      <c r="C33" s="33"/>
      <c r="D33" s="33"/>
      <c r="E33" s="33"/>
      <c r="F33" s="33"/>
      <c r="G33" s="33"/>
      <c r="H33" s="46"/>
      <c r="I33" s="33"/>
      <c r="J33" s="33"/>
      <c r="K33" s="33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5"/>
      <c r="B34" s="33"/>
      <c r="C34" s="33"/>
      <c r="D34" s="33"/>
      <c r="E34" s="33"/>
      <c r="F34" s="33"/>
      <c r="G34" s="33"/>
      <c r="H34" s="46"/>
      <c r="I34" s="33"/>
      <c r="J34" s="33"/>
      <c r="K34" s="33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5"/>
      <c r="B35" s="33"/>
      <c r="C35" s="33"/>
      <c r="D35" s="33"/>
      <c r="E35" s="33"/>
      <c r="F35" s="33"/>
      <c r="G35" s="33"/>
      <c r="H35" s="46"/>
      <c r="I35" s="33"/>
      <c r="J35" s="33"/>
      <c r="K35" s="33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55"/>
      <c r="B36" s="33"/>
      <c r="C36" s="33"/>
      <c r="D36" s="33"/>
      <c r="E36" s="33"/>
      <c r="F36" s="33"/>
      <c r="G36" s="33"/>
      <c r="H36" s="46"/>
      <c r="I36" s="33"/>
      <c r="J36" s="33"/>
      <c r="K36" s="33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56"/>
      <c r="B37" s="48"/>
      <c r="C37" s="48"/>
      <c r="D37" s="48"/>
      <c r="E37" s="48"/>
      <c r="F37" s="48"/>
      <c r="G37" s="48"/>
      <c r="H37" s="49"/>
      <c r="I37" s="33"/>
      <c r="J37" s="33"/>
      <c r="K37" s="33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I38" s="33"/>
      <c r="J38" s="33"/>
      <c r="K38" s="33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I39" s="33"/>
      <c r="J39" s="33"/>
      <c r="K39" s="33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0" t="s">
        <v>118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35" t="s">
        <v>1</v>
      </c>
      <c r="B41" s="36" t="s">
        <v>2</v>
      </c>
      <c r="C41" s="36" t="s">
        <v>3</v>
      </c>
      <c r="D41" s="36" t="s">
        <v>4</v>
      </c>
      <c r="E41" s="36" t="s">
        <v>5</v>
      </c>
      <c r="F41" s="36" t="s">
        <v>6</v>
      </c>
      <c r="G41" s="36" t="s">
        <v>7</v>
      </c>
      <c r="H41" s="37" t="s">
        <v>8</v>
      </c>
      <c r="I41" s="33"/>
      <c r="J41" s="33"/>
      <c r="K41" s="33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6"/>
      <c r="B42" s="69">
        <v>41761.0</v>
      </c>
      <c r="C42" s="40" t="s">
        <v>119</v>
      </c>
      <c r="D42" s="40">
        <v>2021.0</v>
      </c>
      <c r="E42" s="40" t="s">
        <v>120</v>
      </c>
      <c r="F42" s="40" t="s">
        <v>121</v>
      </c>
      <c r="G42" s="40"/>
      <c r="H42" s="84" t="s">
        <v>122</v>
      </c>
      <c r="I42" s="33"/>
      <c r="J42" s="33"/>
      <c r="K42" s="33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12"/>
      <c r="B43" s="41" t="s">
        <v>13</v>
      </c>
      <c r="C43" s="41" t="s">
        <v>123</v>
      </c>
      <c r="D43" s="43"/>
      <c r="E43" s="43"/>
      <c r="F43" s="43"/>
      <c r="G43" s="43"/>
      <c r="H43" s="84" t="s">
        <v>124</v>
      </c>
      <c r="I43" s="33"/>
      <c r="J43" s="33"/>
      <c r="K43" s="33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5" t="s">
        <v>14</v>
      </c>
      <c r="B44" s="40" t="s">
        <v>15</v>
      </c>
      <c r="C44" s="40" t="s">
        <v>16</v>
      </c>
      <c r="D44" s="40" t="s">
        <v>17</v>
      </c>
      <c r="E44" s="40" t="s">
        <v>18</v>
      </c>
      <c r="F44" s="40" t="s">
        <v>19</v>
      </c>
      <c r="G44" s="40" t="s">
        <v>20</v>
      </c>
      <c r="H44" s="46"/>
      <c r="I44" s="33"/>
      <c r="J44" s="33"/>
      <c r="K44" s="33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12"/>
      <c r="B45" s="47"/>
      <c r="C45" s="53" t="s">
        <v>109</v>
      </c>
      <c r="D45" s="48"/>
      <c r="E45" s="48"/>
      <c r="F45" s="48"/>
      <c r="G45" s="48"/>
      <c r="H45" s="49"/>
      <c r="I45" s="33"/>
      <c r="J45" s="33"/>
      <c r="K45" s="33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5" t="s">
        <v>21</v>
      </c>
      <c r="B46" s="40" t="s">
        <v>22</v>
      </c>
      <c r="C46" s="40" t="s">
        <v>23</v>
      </c>
      <c r="D46" s="40" t="s">
        <v>24</v>
      </c>
      <c r="E46" s="40" t="s">
        <v>25</v>
      </c>
      <c r="F46" s="40" t="s">
        <v>26</v>
      </c>
      <c r="G46" s="40" t="s">
        <v>27</v>
      </c>
      <c r="H46" s="46"/>
      <c r="I46" s="33"/>
      <c r="J46" s="33"/>
      <c r="K46" s="33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12"/>
      <c r="B47" s="53"/>
      <c r="C47" s="53" t="s">
        <v>125</v>
      </c>
      <c r="D47" s="48"/>
      <c r="E47" s="48"/>
      <c r="F47" s="48"/>
      <c r="G47" s="48"/>
      <c r="H47" s="49"/>
      <c r="I47" s="33"/>
      <c r="J47" s="33"/>
      <c r="K47" s="33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5" t="s">
        <v>28</v>
      </c>
      <c r="B48" s="33"/>
      <c r="C48" s="40" t="s">
        <v>15</v>
      </c>
      <c r="D48" s="40" t="s">
        <v>16</v>
      </c>
      <c r="E48" s="40" t="s">
        <v>17</v>
      </c>
      <c r="F48" s="40" t="s">
        <v>18</v>
      </c>
      <c r="G48" s="40" t="s">
        <v>19</v>
      </c>
      <c r="H48" s="51" t="s">
        <v>20</v>
      </c>
      <c r="I48" s="33"/>
      <c r="J48" s="33"/>
      <c r="K48" s="33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6"/>
      <c r="B49" s="40" t="s">
        <v>30</v>
      </c>
      <c r="D49" s="40">
        <v>100.0</v>
      </c>
      <c r="E49" s="33"/>
      <c r="F49" s="33"/>
      <c r="G49" s="33"/>
      <c r="H49" s="46"/>
      <c r="I49" s="33"/>
      <c r="J49" s="33"/>
      <c r="K49" s="33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6"/>
      <c r="B50" s="40" t="s">
        <v>31</v>
      </c>
      <c r="C50" s="40"/>
      <c r="D50" s="40">
        <v>85.29</v>
      </c>
      <c r="E50" s="33"/>
      <c r="F50" s="33"/>
      <c r="G50" s="33"/>
      <c r="H50" s="46"/>
      <c r="I50" s="33"/>
      <c r="J50" s="33"/>
      <c r="K50" s="33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12"/>
      <c r="B51" s="53" t="s">
        <v>32</v>
      </c>
      <c r="C51" s="48"/>
      <c r="D51" s="53">
        <v>30.0</v>
      </c>
      <c r="E51" s="48"/>
      <c r="F51" s="48"/>
      <c r="G51" s="48"/>
      <c r="H51" s="49"/>
      <c r="I51" s="33"/>
      <c r="J51" s="33"/>
      <c r="K51" s="33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54" t="s">
        <v>33</v>
      </c>
      <c r="C52" s="33"/>
      <c r="D52" s="33"/>
      <c r="E52" s="33"/>
      <c r="F52" s="33"/>
      <c r="G52" s="33"/>
      <c r="H52" s="46"/>
      <c r="I52" s="33"/>
      <c r="J52" s="33"/>
      <c r="K52" s="33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54" t="s">
        <v>126</v>
      </c>
      <c r="B53" s="33"/>
      <c r="C53" s="33"/>
      <c r="D53" s="33"/>
      <c r="E53" s="33"/>
      <c r="F53" s="33"/>
      <c r="G53" s="33"/>
      <c r="H53" s="46"/>
      <c r="I53" s="33"/>
      <c r="J53" s="33"/>
      <c r="K53" s="33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54" t="s">
        <v>127</v>
      </c>
      <c r="B54" s="33"/>
      <c r="C54" s="33"/>
      <c r="D54" s="33"/>
      <c r="E54" s="33"/>
      <c r="F54" s="33"/>
      <c r="G54" s="33"/>
      <c r="H54" s="46"/>
      <c r="I54" s="33"/>
      <c r="J54" s="33"/>
      <c r="K54" s="33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55"/>
      <c r="B55" s="33"/>
      <c r="C55" s="33"/>
      <c r="D55" s="33"/>
      <c r="E55" s="33"/>
      <c r="F55" s="33"/>
      <c r="G55" s="33"/>
      <c r="H55" s="46"/>
      <c r="I55" s="33"/>
      <c r="J55" s="33"/>
      <c r="K55" s="33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56"/>
      <c r="B56" s="48"/>
      <c r="C56" s="48"/>
      <c r="D56" s="48"/>
      <c r="E56" s="48"/>
      <c r="F56" s="48"/>
      <c r="G56" s="48"/>
      <c r="H56" s="49"/>
      <c r="I56" s="33"/>
      <c r="J56" s="33"/>
      <c r="K56" s="33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I57" s="33"/>
      <c r="J57" s="33"/>
      <c r="K57" s="33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I58" s="33"/>
      <c r="J58" s="33"/>
      <c r="K58" s="33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I59" s="33"/>
      <c r="J59" s="33"/>
      <c r="K59" s="33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I60" s="33"/>
      <c r="J60" s="33"/>
      <c r="K60" s="33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I61" s="33"/>
      <c r="J61" s="33"/>
      <c r="K61" s="33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I62" s="33"/>
      <c r="J62" s="33"/>
      <c r="K62" s="33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I63" s="33"/>
      <c r="J63" s="33"/>
      <c r="K63" s="33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I64" s="33"/>
      <c r="J64" s="33"/>
      <c r="K64" s="33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I65" s="33"/>
      <c r="J65" s="33"/>
      <c r="K65" s="33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I66" s="33"/>
      <c r="J66" s="33"/>
      <c r="K66" s="33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I67" s="33"/>
      <c r="J67" s="33"/>
      <c r="K67" s="33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I68" s="33"/>
      <c r="J68" s="33"/>
      <c r="K68" s="33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I69" s="33"/>
      <c r="J69" s="33"/>
      <c r="K69" s="33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I70" s="33"/>
      <c r="J70" s="33"/>
      <c r="K70" s="33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I71" s="33"/>
      <c r="J71" s="33"/>
      <c r="K71" s="33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I72" s="33"/>
      <c r="J72" s="33"/>
      <c r="K72" s="33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I73" s="33"/>
      <c r="J73" s="33"/>
      <c r="K73" s="33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I74" s="33"/>
      <c r="J74" s="33"/>
      <c r="K74" s="33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I75" s="33"/>
      <c r="J75" s="33"/>
      <c r="K75" s="33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I76" s="33"/>
      <c r="J76" s="33"/>
      <c r="K76" s="33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I77" s="33"/>
      <c r="J77" s="33"/>
      <c r="K77" s="33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I78" s="33"/>
      <c r="J78" s="33"/>
      <c r="K78" s="33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I79" s="33"/>
      <c r="J79" s="33"/>
      <c r="K79" s="33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I80" s="33"/>
      <c r="J80" s="33"/>
      <c r="K80" s="33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I81" s="33"/>
      <c r="J81" s="33"/>
      <c r="K81" s="33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I82" s="33"/>
      <c r="J82" s="33"/>
      <c r="K82" s="33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I83" s="33"/>
      <c r="J83" s="33"/>
      <c r="K83" s="33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I84" s="33"/>
      <c r="J84" s="33"/>
      <c r="K84" s="33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I85" s="33"/>
      <c r="J85" s="33"/>
      <c r="K85" s="33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I86" s="33"/>
      <c r="J86" s="33"/>
      <c r="K86" s="33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I87" s="33"/>
      <c r="J87" s="33"/>
      <c r="K87" s="33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I88" s="33"/>
      <c r="J88" s="33"/>
      <c r="K88" s="33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I89" s="33"/>
      <c r="J89" s="33"/>
      <c r="K89" s="33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I90" s="33"/>
      <c r="J90" s="33"/>
      <c r="K90" s="33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I91" s="33"/>
      <c r="J91" s="33"/>
      <c r="K91" s="33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I92" s="33"/>
      <c r="J92" s="33"/>
      <c r="K92" s="33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mergeCells count="15">
    <mergeCell ref="A27:A28"/>
    <mergeCell ref="A29:A32"/>
    <mergeCell ref="A33:B33"/>
    <mergeCell ref="A41:A43"/>
    <mergeCell ref="A44:A45"/>
    <mergeCell ref="A46:A47"/>
    <mergeCell ref="A48:A51"/>
    <mergeCell ref="A52:B52"/>
    <mergeCell ref="A2:A4"/>
    <mergeCell ref="A5:A6"/>
    <mergeCell ref="A7:A8"/>
    <mergeCell ref="A9:A12"/>
    <mergeCell ref="A13:B13"/>
    <mergeCell ref="A22:A24"/>
    <mergeCell ref="A25:A2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13.0"/>
  </cols>
  <sheetData>
    <row r="1">
      <c r="A1" s="40" t="s">
        <v>128</v>
      </c>
      <c r="B1" s="33"/>
      <c r="C1" s="33"/>
      <c r="D1" s="33"/>
      <c r="E1" s="33"/>
      <c r="F1" s="33"/>
      <c r="G1" s="33"/>
      <c r="H1" s="33"/>
      <c r="I1" s="86"/>
      <c r="J1" s="86"/>
      <c r="K1" s="86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86"/>
      <c r="J2" s="86"/>
      <c r="K2" s="86"/>
    </row>
    <row r="3">
      <c r="A3" s="6"/>
      <c r="B3" s="40" t="s">
        <v>129</v>
      </c>
      <c r="C3" s="40" t="s">
        <v>130</v>
      </c>
      <c r="D3" s="40">
        <v>2020.0</v>
      </c>
      <c r="E3" s="40" t="s">
        <v>131</v>
      </c>
      <c r="F3" s="40" t="s">
        <v>132</v>
      </c>
      <c r="G3" s="40" t="s">
        <v>133</v>
      </c>
      <c r="H3" s="51" t="s">
        <v>134</v>
      </c>
      <c r="I3" s="86"/>
      <c r="J3" s="86"/>
      <c r="K3" s="86"/>
    </row>
    <row r="4">
      <c r="A4" s="12"/>
      <c r="B4" s="41" t="s">
        <v>13</v>
      </c>
      <c r="C4" s="41" t="s">
        <v>135</v>
      </c>
      <c r="D4" s="73"/>
      <c r="E4" s="73"/>
      <c r="F4" s="73"/>
      <c r="G4" s="43"/>
      <c r="H4" s="44"/>
      <c r="I4" s="86"/>
      <c r="J4" s="86"/>
      <c r="K4" s="86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86"/>
      <c r="J5" s="86"/>
      <c r="K5" s="86"/>
    </row>
    <row r="6">
      <c r="A6" s="12"/>
      <c r="B6" s="47">
        <v>106.0</v>
      </c>
      <c r="C6" s="53" t="s">
        <v>136</v>
      </c>
      <c r="D6" s="48"/>
      <c r="E6" s="48"/>
      <c r="F6" s="48"/>
      <c r="G6" s="48"/>
      <c r="H6" s="49"/>
      <c r="I6" s="86"/>
      <c r="J6" s="86"/>
      <c r="K6" s="86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86"/>
      <c r="J7" s="86"/>
      <c r="K7" s="86"/>
    </row>
    <row r="8">
      <c r="A8" s="12"/>
      <c r="B8" s="53" t="s">
        <v>137</v>
      </c>
      <c r="C8" s="53" t="s">
        <v>138</v>
      </c>
      <c r="D8" s="48"/>
      <c r="E8" s="48"/>
      <c r="F8" s="48"/>
      <c r="G8" s="48"/>
      <c r="H8" s="49"/>
      <c r="I8" s="86"/>
      <c r="J8" s="86"/>
      <c r="K8" s="86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86"/>
      <c r="J9" s="86"/>
      <c r="K9" s="86"/>
    </row>
    <row r="10">
      <c r="A10" s="6"/>
      <c r="B10" s="40" t="s">
        <v>30</v>
      </c>
      <c r="C10" s="52">
        <v>93.61</v>
      </c>
      <c r="D10" s="40">
        <v>75.775</v>
      </c>
      <c r="E10" s="87">
        <f>47/48</f>
        <v>0.9791666667</v>
      </c>
      <c r="F10" s="33"/>
      <c r="G10" s="33"/>
      <c r="H10" s="46"/>
      <c r="I10" s="86"/>
      <c r="J10" s="86"/>
      <c r="K10" s="86"/>
    </row>
    <row r="11">
      <c r="A11" s="6"/>
      <c r="B11" s="40" t="s">
        <v>31</v>
      </c>
      <c r="C11" s="40">
        <v>87.7</v>
      </c>
      <c r="D11" s="40">
        <v>93.85</v>
      </c>
      <c r="E11" s="33"/>
      <c r="G11" s="33"/>
      <c r="H11" s="46"/>
      <c r="I11" s="86"/>
      <c r="J11" s="86"/>
      <c r="K11" s="86"/>
    </row>
    <row r="12">
      <c r="A12" s="12"/>
      <c r="B12" s="53" t="s">
        <v>32</v>
      </c>
      <c r="C12" s="53">
        <v>96.0</v>
      </c>
      <c r="D12" s="53">
        <v>91.17</v>
      </c>
      <c r="E12" s="48"/>
      <c r="F12" s="48"/>
      <c r="G12" s="48"/>
      <c r="H12" s="49"/>
      <c r="I12" s="86"/>
      <c r="J12" s="86"/>
      <c r="K12" s="86"/>
    </row>
    <row r="13">
      <c r="A13" s="54" t="s">
        <v>33</v>
      </c>
      <c r="C13" s="33"/>
      <c r="D13" s="33"/>
      <c r="E13" s="33"/>
      <c r="F13" s="33"/>
      <c r="G13" s="33"/>
      <c r="H13" s="46"/>
      <c r="I13" s="86"/>
      <c r="J13" s="86"/>
      <c r="K13" s="86"/>
    </row>
    <row r="14">
      <c r="A14" s="54" t="s">
        <v>139</v>
      </c>
      <c r="B14" s="33"/>
      <c r="C14" s="33"/>
      <c r="D14" s="33"/>
      <c r="E14" s="33"/>
      <c r="F14" s="33"/>
      <c r="G14" s="33"/>
      <c r="H14" s="46"/>
      <c r="I14" s="86"/>
      <c r="J14" s="86"/>
      <c r="K14" s="86"/>
    </row>
    <row r="15">
      <c r="A15" s="55"/>
      <c r="B15" s="33"/>
      <c r="C15" s="33"/>
      <c r="D15" s="33"/>
      <c r="E15" s="33"/>
      <c r="F15" s="33"/>
      <c r="G15" s="33"/>
      <c r="H15" s="46"/>
      <c r="I15" s="86"/>
      <c r="J15" s="86"/>
      <c r="K15" s="86"/>
    </row>
    <row r="16">
      <c r="A16" s="55"/>
      <c r="B16" s="33"/>
      <c r="C16" s="33"/>
      <c r="D16" s="33"/>
      <c r="E16" s="33"/>
      <c r="F16" s="33"/>
      <c r="G16" s="33"/>
      <c r="H16" s="46"/>
      <c r="I16" s="86"/>
      <c r="J16" s="86"/>
      <c r="K16" s="86"/>
    </row>
    <row r="17">
      <c r="A17" s="56"/>
      <c r="B17" s="48"/>
      <c r="C17" s="48"/>
      <c r="D17" s="48"/>
      <c r="E17" s="48"/>
      <c r="F17" s="48"/>
      <c r="G17" s="48"/>
      <c r="H17" s="49"/>
      <c r="I17" s="86"/>
      <c r="J17" s="86"/>
      <c r="K17" s="86"/>
    </row>
    <row r="18">
      <c r="I18" s="86"/>
      <c r="J18" s="86"/>
      <c r="K18" s="86"/>
    </row>
    <row r="19">
      <c r="I19" s="86"/>
      <c r="J19" s="86"/>
      <c r="K19" s="86"/>
    </row>
    <row r="20">
      <c r="A20" s="81" t="s">
        <v>140</v>
      </c>
      <c r="B20" s="48"/>
      <c r="C20" s="48"/>
      <c r="D20" s="48"/>
      <c r="E20" s="48"/>
      <c r="F20" s="48"/>
      <c r="G20" s="48"/>
      <c r="H20" s="48"/>
      <c r="I20" s="86"/>
      <c r="J20" s="86"/>
      <c r="K20" s="86"/>
    </row>
    <row r="21">
      <c r="A21" s="45" t="s">
        <v>1</v>
      </c>
      <c r="B21" s="40" t="s">
        <v>2</v>
      </c>
      <c r="C21" s="40" t="s">
        <v>3</v>
      </c>
      <c r="D21" s="40" t="s">
        <v>4</v>
      </c>
      <c r="E21" s="40" t="s">
        <v>5</v>
      </c>
      <c r="F21" s="40" t="s">
        <v>6</v>
      </c>
      <c r="G21" s="40" t="s">
        <v>7</v>
      </c>
      <c r="H21" s="51" t="s">
        <v>8</v>
      </c>
      <c r="I21" s="86"/>
      <c r="J21" s="86"/>
      <c r="K21" s="86"/>
    </row>
    <row r="22">
      <c r="A22" s="6"/>
      <c r="B22" s="40" t="s">
        <v>141</v>
      </c>
      <c r="C22" s="40" t="s">
        <v>142</v>
      </c>
      <c r="D22" s="33"/>
      <c r="E22" s="40" t="s">
        <v>143</v>
      </c>
      <c r="F22" s="40" t="s">
        <v>144</v>
      </c>
      <c r="G22" s="40" t="s">
        <v>145</v>
      </c>
      <c r="H22" s="51" t="s">
        <v>146</v>
      </c>
      <c r="I22" s="86"/>
      <c r="J22" s="86"/>
      <c r="K22" s="86"/>
    </row>
    <row r="23">
      <c r="A23" s="12"/>
      <c r="B23" s="41" t="s">
        <v>13</v>
      </c>
      <c r="C23" s="41" t="s">
        <v>147</v>
      </c>
      <c r="D23" s="73"/>
      <c r="E23" s="73"/>
      <c r="F23" s="73"/>
      <c r="G23" s="43"/>
      <c r="H23" s="44"/>
      <c r="I23" s="86"/>
      <c r="J23" s="86"/>
      <c r="K23" s="86"/>
    </row>
    <row r="24">
      <c r="A24" s="45" t="s">
        <v>14</v>
      </c>
      <c r="B24" s="40" t="s">
        <v>15</v>
      </c>
      <c r="C24" s="40" t="s">
        <v>16</v>
      </c>
      <c r="D24" s="40" t="s">
        <v>17</v>
      </c>
      <c r="E24" s="40" t="s">
        <v>18</v>
      </c>
      <c r="F24" s="40" t="s">
        <v>19</v>
      </c>
      <c r="G24" s="40" t="s">
        <v>20</v>
      </c>
      <c r="H24" s="46"/>
      <c r="I24" s="86"/>
      <c r="J24" s="86"/>
      <c r="K24" s="86"/>
    </row>
    <row r="25">
      <c r="A25" s="12"/>
      <c r="B25" s="47">
        <v>106.0</v>
      </c>
      <c r="C25" s="48"/>
      <c r="D25" s="48"/>
      <c r="E25" s="48"/>
      <c r="F25" s="48"/>
      <c r="G25" s="48"/>
      <c r="H25" s="49"/>
      <c r="I25" s="86"/>
      <c r="J25" s="86"/>
      <c r="K25" s="86"/>
    </row>
    <row r="26">
      <c r="A26" s="45" t="s">
        <v>21</v>
      </c>
      <c r="B26" s="40" t="s">
        <v>22</v>
      </c>
      <c r="C26" s="40" t="s">
        <v>23</v>
      </c>
      <c r="D26" s="40" t="s">
        <v>24</v>
      </c>
      <c r="E26" s="40" t="s">
        <v>25</v>
      </c>
      <c r="F26" s="40" t="s">
        <v>26</v>
      </c>
      <c r="G26" s="40" t="s">
        <v>27</v>
      </c>
      <c r="H26" s="46"/>
      <c r="I26" s="86"/>
      <c r="J26" s="86"/>
      <c r="K26" s="86"/>
    </row>
    <row r="27">
      <c r="A27" s="12"/>
      <c r="B27" s="48"/>
      <c r="C27" s="48"/>
      <c r="D27" s="48"/>
      <c r="E27" s="48"/>
      <c r="F27" s="48"/>
      <c r="G27" s="48"/>
      <c r="H27" s="49"/>
      <c r="I27" s="86"/>
      <c r="J27" s="86"/>
      <c r="K27" s="86"/>
    </row>
    <row r="28">
      <c r="A28" s="45" t="s">
        <v>28</v>
      </c>
      <c r="B28" s="33"/>
      <c r="C28" s="40" t="s">
        <v>15</v>
      </c>
      <c r="D28" s="40" t="s">
        <v>16</v>
      </c>
      <c r="E28" s="40" t="s">
        <v>17</v>
      </c>
      <c r="F28" s="40" t="s">
        <v>18</v>
      </c>
      <c r="G28" s="40" t="s">
        <v>19</v>
      </c>
      <c r="H28" s="51" t="s">
        <v>20</v>
      </c>
      <c r="I28" s="86"/>
      <c r="J28" s="86"/>
      <c r="K28" s="86"/>
    </row>
    <row r="29">
      <c r="A29" s="6"/>
      <c r="B29" s="40" t="s">
        <v>30</v>
      </c>
      <c r="C29" s="40">
        <v>69.3</v>
      </c>
      <c r="D29" s="33"/>
      <c r="E29" s="33"/>
      <c r="F29" s="33"/>
      <c r="G29" s="33"/>
      <c r="H29" s="46"/>
      <c r="I29" s="86"/>
      <c r="J29" s="86"/>
      <c r="K29" s="86"/>
    </row>
    <row r="30">
      <c r="A30" s="6"/>
      <c r="B30" s="40" t="s">
        <v>31</v>
      </c>
      <c r="C30" s="33"/>
      <c r="D30" s="33"/>
      <c r="E30" s="33"/>
      <c r="F30" s="33"/>
      <c r="G30" s="33"/>
      <c r="H30" s="46"/>
      <c r="I30" s="86"/>
      <c r="J30" s="86"/>
      <c r="K30" s="86"/>
    </row>
    <row r="31">
      <c r="A31" s="12"/>
      <c r="B31" s="53" t="s">
        <v>32</v>
      </c>
      <c r="C31" s="48"/>
      <c r="D31" s="48"/>
      <c r="E31" s="48"/>
      <c r="F31" s="48"/>
      <c r="G31" s="48"/>
      <c r="H31" s="49"/>
      <c r="I31" s="86"/>
      <c r="J31" s="86"/>
      <c r="K31" s="86"/>
    </row>
    <row r="32">
      <c r="A32" s="54" t="s">
        <v>33</v>
      </c>
      <c r="C32" s="33"/>
      <c r="D32" s="33"/>
      <c r="E32" s="33"/>
      <c r="F32" s="33"/>
      <c r="G32" s="33"/>
      <c r="H32" s="46"/>
      <c r="I32" s="86"/>
      <c r="J32" s="86"/>
      <c r="K32" s="86"/>
    </row>
    <row r="33">
      <c r="A33" s="54" t="s">
        <v>148</v>
      </c>
      <c r="B33" s="33"/>
      <c r="C33" s="33"/>
      <c r="D33" s="33"/>
      <c r="E33" s="33"/>
      <c r="F33" s="33"/>
      <c r="G33" s="33"/>
      <c r="H33" s="46"/>
      <c r="I33" s="86"/>
      <c r="J33" s="86"/>
      <c r="K33" s="86"/>
    </row>
    <row r="34">
      <c r="A34" s="55"/>
      <c r="B34" s="33"/>
      <c r="C34" s="33"/>
      <c r="D34" s="33"/>
      <c r="E34" s="33"/>
      <c r="F34" s="33"/>
      <c r="G34" s="33"/>
      <c r="H34" s="46"/>
      <c r="I34" s="86"/>
      <c r="J34" s="86"/>
      <c r="K34" s="86"/>
    </row>
    <row r="35">
      <c r="A35" s="56"/>
      <c r="B35" s="48"/>
      <c r="C35" s="48"/>
      <c r="D35" s="48"/>
      <c r="E35" s="48"/>
      <c r="F35" s="48"/>
      <c r="G35" s="48"/>
      <c r="H35" s="49"/>
      <c r="I35" s="86"/>
      <c r="J35" s="86"/>
      <c r="K35" s="86"/>
    </row>
    <row r="36">
      <c r="A36" s="33"/>
      <c r="B36" s="33"/>
      <c r="C36" s="33"/>
      <c r="D36" s="33"/>
      <c r="E36" s="33"/>
      <c r="F36" s="33"/>
      <c r="G36" s="33"/>
      <c r="H36" s="33"/>
      <c r="I36" s="86"/>
      <c r="J36" s="86"/>
      <c r="K36" s="86"/>
    </row>
    <row r="37">
      <c r="A37" s="88" t="s">
        <v>149</v>
      </c>
      <c r="B37" s="33"/>
      <c r="C37" s="33"/>
      <c r="D37" s="33"/>
      <c r="E37" s="33"/>
      <c r="F37" s="33"/>
      <c r="G37" s="33"/>
      <c r="H37" s="33"/>
      <c r="I37" s="86"/>
      <c r="J37" s="86"/>
      <c r="K37" s="86"/>
    </row>
    <row r="38">
      <c r="A38" s="35" t="s">
        <v>1</v>
      </c>
      <c r="B38" s="36" t="s">
        <v>2</v>
      </c>
      <c r="C38" s="36" t="s">
        <v>3</v>
      </c>
      <c r="D38" s="36" t="s">
        <v>4</v>
      </c>
      <c r="E38" s="36" t="s">
        <v>5</v>
      </c>
      <c r="F38" s="36" t="s">
        <v>6</v>
      </c>
      <c r="G38" s="36" t="s">
        <v>7</v>
      </c>
      <c r="H38" s="37" t="s">
        <v>8</v>
      </c>
      <c r="I38" s="86"/>
      <c r="J38" s="86"/>
      <c r="K38" s="86"/>
    </row>
    <row r="39">
      <c r="A39" s="6"/>
      <c r="B39" s="40" t="s">
        <v>150</v>
      </c>
      <c r="C39" s="76">
        <v>44850.0</v>
      </c>
      <c r="D39" s="76">
        <v>44850.0</v>
      </c>
      <c r="E39" s="40" t="s">
        <v>151</v>
      </c>
      <c r="F39" s="40" t="s">
        <v>152</v>
      </c>
      <c r="G39" s="40"/>
      <c r="H39" s="51" t="s">
        <v>153</v>
      </c>
      <c r="I39" s="86"/>
      <c r="J39" s="86"/>
      <c r="K39" s="86"/>
    </row>
    <row r="40">
      <c r="A40" s="12"/>
      <c r="B40" s="41" t="s">
        <v>13</v>
      </c>
      <c r="C40" s="41" t="s">
        <v>154</v>
      </c>
      <c r="D40" s="43"/>
      <c r="E40" s="43"/>
      <c r="F40" s="43"/>
      <c r="G40" s="43"/>
      <c r="H40" s="44"/>
      <c r="I40" s="86"/>
      <c r="J40" s="86"/>
      <c r="K40" s="86"/>
    </row>
    <row r="41">
      <c r="A41" s="45" t="s">
        <v>14</v>
      </c>
      <c r="B41" s="40" t="s">
        <v>15</v>
      </c>
      <c r="C41" s="40" t="s">
        <v>16</v>
      </c>
      <c r="D41" s="40" t="s">
        <v>17</v>
      </c>
      <c r="E41" s="40" t="s">
        <v>18</v>
      </c>
      <c r="F41" s="40" t="s">
        <v>19</v>
      </c>
      <c r="G41" s="40" t="s">
        <v>20</v>
      </c>
      <c r="H41" s="46"/>
      <c r="I41" s="86"/>
      <c r="J41" s="86"/>
      <c r="K41" s="86"/>
    </row>
    <row r="42">
      <c r="A42" s="12"/>
      <c r="B42" s="47">
        <v>107.0</v>
      </c>
      <c r="C42" s="53" t="s">
        <v>136</v>
      </c>
      <c r="D42" s="48"/>
      <c r="E42" s="48"/>
      <c r="F42" s="48"/>
      <c r="G42" s="48"/>
      <c r="H42" s="49"/>
      <c r="I42" s="86"/>
      <c r="J42" s="86"/>
      <c r="K42" s="86"/>
    </row>
    <row r="43">
      <c r="A43" s="45" t="s">
        <v>21</v>
      </c>
      <c r="B43" s="40" t="s">
        <v>22</v>
      </c>
      <c r="C43" s="40" t="s">
        <v>23</v>
      </c>
      <c r="D43" s="40" t="s">
        <v>24</v>
      </c>
      <c r="E43" s="40" t="s">
        <v>25</v>
      </c>
      <c r="F43" s="40" t="s">
        <v>26</v>
      </c>
      <c r="G43" s="40" t="s">
        <v>27</v>
      </c>
      <c r="H43" s="46"/>
      <c r="I43" s="86"/>
      <c r="J43" s="86"/>
      <c r="K43" s="86"/>
    </row>
    <row r="44">
      <c r="A44" s="12"/>
      <c r="B44" s="48"/>
      <c r="C44" s="53" t="s">
        <v>155</v>
      </c>
      <c r="D44" s="48"/>
      <c r="E44" s="48"/>
      <c r="F44" s="48"/>
      <c r="G44" s="48"/>
      <c r="H44" s="49"/>
      <c r="I44" s="86"/>
      <c r="J44" s="86"/>
      <c r="K44" s="86"/>
    </row>
    <row r="45">
      <c r="A45" s="45" t="s">
        <v>28</v>
      </c>
      <c r="B45" s="33"/>
      <c r="C45" s="40" t="s">
        <v>15</v>
      </c>
      <c r="D45" s="40" t="s">
        <v>16</v>
      </c>
      <c r="E45" s="40" t="s">
        <v>17</v>
      </c>
      <c r="F45" s="40" t="s">
        <v>18</v>
      </c>
      <c r="G45" s="40" t="s">
        <v>19</v>
      </c>
      <c r="H45" s="51" t="s">
        <v>20</v>
      </c>
      <c r="I45" s="86"/>
      <c r="J45" s="86"/>
      <c r="K45" s="86"/>
    </row>
    <row r="46">
      <c r="A46" s="6"/>
      <c r="B46" s="40" t="s">
        <v>30</v>
      </c>
      <c r="C46" s="33"/>
      <c r="D46" s="40">
        <v>64.225</v>
      </c>
      <c r="E46" s="87">
        <f>35/48</f>
        <v>0.7291666667</v>
      </c>
      <c r="F46" s="33"/>
      <c r="G46" s="33"/>
      <c r="H46" s="46"/>
      <c r="I46" s="86"/>
      <c r="J46" s="86"/>
      <c r="K46" s="86"/>
    </row>
    <row r="47">
      <c r="A47" s="6"/>
      <c r="B47" s="40" t="s">
        <v>31</v>
      </c>
      <c r="C47" s="33"/>
      <c r="D47" s="40">
        <v>89.85</v>
      </c>
      <c r="E47" s="33"/>
      <c r="F47" s="33"/>
      <c r="G47" s="33"/>
      <c r="H47" s="46"/>
      <c r="I47" s="86"/>
      <c r="J47" s="86"/>
      <c r="K47" s="86"/>
    </row>
    <row r="48">
      <c r="A48" s="12"/>
      <c r="B48" s="53" t="s">
        <v>32</v>
      </c>
      <c r="C48" s="53">
        <v>72.0</v>
      </c>
      <c r="D48" s="53">
        <v>66.66</v>
      </c>
      <c r="E48" s="48"/>
      <c r="F48" s="48"/>
      <c r="G48" s="48"/>
      <c r="H48" s="49"/>
      <c r="I48" s="86"/>
      <c r="J48" s="86"/>
      <c r="K48" s="86"/>
    </row>
    <row r="49">
      <c r="A49" s="54" t="s">
        <v>33</v>
      </c>
      <c r="C49" s="33"/>
      <c r="D49" s="33"/>
      <c r="E49" s="33"/>
      <c r="F49" s="33"/>
      <c r="G49" s="33"/>
      <c r="H49" s="46"/>
      <c r="I49" s="86"/>
      <c r="J49" s="86"/>
      <c r="K49" s="86"/>
    </row>
    <row r="50">
      <c r="A50" s="54" t="s">
        <v>156</v>
      </c>
      <c r="B50" s="33"/>
      <c r="C50" s="33"/>
      <c r="D50" s="33"/>
      <c r="E50" s="33"/>
      <c r="F50" s="33"/>
      <c r="G50" s="33"/>
      <c r="H50" s="46"/>
      <c r="I50" s="86"/>
      <c r="J50" s="86"/>
      <c r="K50" s="86"/>
    </row>
    <row r="51">
      <c r="A51" s="55"/>
      <c r="B51" s="33"/>
      <c r="C51" s="33"/>
      <c r="D51" s="33"/>
      <c r="E51" s="33"/>
      <c r="F51" s="33"/>
      <c r="G51" s="33"/>
      <c r="H51" s="46"/>
      <c r="I51" s="86"/>
      <c r="J51" s="86"/>
      <c r="K51" s="86"/>
    </row>
    <row r="52">
      <c r="A52" s="55"/>
      <c r="B52" s="33"/>
      <c r="C52" s="33"/>
      <c r="D52" s="33"/>
      <c r="E52" s="33"/>
      <c r="F52" s="33"/>
      <c r="G52" s="33"/>
      <c r="H52" s="46"/>
    </row>
    <row r="53">
      <c r="A53" s="56"/>
      <c r="B53" s="48"/>
      <c r="C53" s="48"/>
      <c r="D53" s="48"/>
      <c r="E53" s="48"/>
      <c r="F53" s="48"/>
      <c r="G53" s="48"/>
      <c r="H53" s="49"/>
    </row>
    <row r="54">
      <c r="A54" s="33"/>
      <c r="B54" s="33"/>
      <c r="C54" s="33"/>
      <c r="D54" s="33"/>
      <c r="E54" s="33"/>
      <c r="F54" s="33"/>
      <c r="G54" s="33"/>
      <c r="H54" s="33"/>
    </row>
    <row r="55">
      <c r="A55" s="88" t="s">
        <v>157</v>
      </c>
      <c r="B55" s="33"/>
      <c r="C55" s="33"/>
      <c r="D55" s="33"/>
      <c r="E55" s="33"/>
      <c r="F55" s="33"/>
      <c r="G55" s="33"/>
      <c r="H55" s="33"/>
    </row>
    <row r="56">
      <c r="A56" s="35" t="s">
        <v>1</v>
      </c>
      <c r="B56" s="36" t="s">
        <v>2</v>
      </c>
      <c r="C56" s="36" t="s">
        <v>3</v>
      </c>
      <c r="D56" s="36" t="s">
        <v>4</v>
      </c>
      <c r="E56" s="36" t="s">
        <v>5</v>
      </c>
      <c r="F56" s="36" t="s">
        <v>6</v>
      </c>
      <c r="G56" s="36" t="s">
        <v>7</v>
      </c>
      <c r="H56" s="37" t="s">
        <v>8</v>
      </c>
    </row>
    <row r="57">
      <c r="A57" s="6"/>
      <c r="B57" s="40" t="s">
        <v>158</v>
      </c>
      <c r="C57" s="40">
        <v>2021.0</v>
      </c>
      <c r="D57" s="40">
        <v>2022.0</v>
      </c>
      <c r="E57" s="40" t="s">
        <v>159</v>
      </c>
      <c r="F57" s="40" t="s">
        <v>160</v>
      </c>
      <c r="G57" s="40"/>
      <c r="H57" s="51" t="s">
        <v>161</v>
      </c>
    </row>
    <row r="58">
      <c r="A58" s="12"/>
      <c r="B58" s="41" t="s">
        <v>13</v>
      </c>
      <c r="C58" s="41" t="s">
        <v>162</v>
      </c>
      <c r="D58" s="43"/>
      <c r="E58" s="43"/>
      <c r="F58" s="43"/>
      <c r="G58" s="43"/>
      <c r="H58" s="44"/>
    </row>
    <row r="59">
      <c r="A59" s="45" t="s">
        <v>14</v>
      </c>
      <c r="B59" s="40" t="s">
        <v>15</v>
      </c>
      <c r="C59" s="40" t="s">
        <v>16</v>
      </c>
      <c r="D59" s="40" t="s">
        <v>17</v>
      </c>
      <c r="E59" s="40" t="s">
        <v>18</v>
      </c>
      <c r="F59" s="40" t="s">
        <v>19</v>
      </c>
      <c r="G59" s="40" t="s">
        <v>20</v>
      </c>
      <c r="H59" s="46"/>
    </row>
    <row r="60">
      <c r="A60" s="12"/>
      <c r="B60" s="47">
        <v>106.0</v>
      </c>
      <c r="C60" s="53" t="s">
        <v>136</v>
      </c>
      <c r="D60" s="48"/>
      <c r="E60" s="48"/>
      <c r="F60" s="48"/>
      <c r="G60" s="48"/>
      <c r="H60" s="49"/>
    </row>
    <row r="61">
      <c r="A61" s="45" t="s">
        <v>21</v>
      </c>
      <c r="B61" s="40" t="s">
        <v>22</v>
      </c>
      <c r="C61" s="40" t="s">
        <v>23</v>
      </c>
      <c r="D61" s="40" t="s">
        <v>24</v>
      </c>
      <c r="E61" s="40" t="s">
        <v>25</v>
      </c>
      <c r="F61" s="40" t="s">
        <v>26</v>
      </c>
      <c r="G61" s="40" t="s">
        <v>27</v>
      </c>
      <c r="H61" s="46"/>
    </row>
    <row r="62">
      <c r="A62" s="12"/>
      <c r="B62" s="48"/>
      <c r="C62" s="53" t="s">
        <v>89</v>
      </c>
      <c r="D62" s="48"/>
      <c r="E62" s="48"/>
      <c r="F62" s="48"/>
      <c r="G62" s="48"/>
      <c r="H62" s="49"/>
    </row>
    <row r="63">
      <c r="A63" s="45" t="s">
        <v>28</v>
      </c>
      <c r="B63" s="33"/>
      <c r="C63" s="40" t="s">
        <v>15</v>
      </c>
      <c r="D63" s="40" t="s">
        <v>16</v>
      </c>
      <c r="E63" s="40" t="s">
        <v>17</v>
      </c>
      <c r="F63" s="40" t="s">
        <v>18</v>
      </c>
      <c r="G63" s="40" t="s">
        <v>19</v>
      </c>
      <c r="H63" s="51" t="s">
        <v>20</v>
      </c>
    </row>
    <row r="64">
      <c r="A64" s="6"/>
      <c r="B64" s="40" t="s">
        <v>30</v>
      </c>
      <c r="C64" s="33"/>
      <c r="D64" s="40">
        <v>50.15</v>
      </c>
      <c r="E64" s="87">
        <f>37/48</f>
        <v>0.7708333333</v>
      </c>
      <c r="F64" s="33"/>
      <c r="G64" s="33"/>
      <c r="H64" s="46"/>
    </row>
    <row r="65">
      <c r="A65" s="6"/>
      <c r="B65" s="40" t="s">
        <v>31</v>
      </c>
      <c r="C65" s="33"/>
      <c r="D65" s="40">
        <v>73.35</v>
      </c>
      <c r="E65" s="33"/>
      <c r="F65" s="33"/>
      <c r="G65" s="33"/>
      <c r="H65" s="46"/>
    </row>
    <row r="66">
      <c r="A66" s="12"/>
      <c r="B66" s="53" t="s">
        <v>32</v>
      </c>
      <c r="C66" s="53"/>
      <c r="D66" s="53">
        <v>58.82</v>
      </c>
      <c r="E66" s="48"/>
      <c r="F66" s="48"/>
      <c r="G66" s="48"/>
      <c r="H66" s="49"/>
    </row>
    <row r="67">
      <c r="A67" s="54" t="s">
        <v>33</v>
      </c>
      <c r="C67" s="33"/>
      <c r="D67" s="33"/>
      <c r="E67" s="33"/>
      <c r="F67" s="33"/>
      <c r="G67" s="33"/>
      <c r="H67" s="46"/>
    </row>
    <row r="68">
      <c r="A68" s="54" t="s">
        <v>163</v>
      </c>
      <c r="B68" s="33"/>
      <c r="C68" s="33"/>
      <c r="D68" s="33"/>
      <c r="E68" s="33"/>
      <c r="F68" s="33"/>
      <c r="G68" s="33"/>
      <c r="H68" s="46"/>
    </row>
    <row r="69">
      <c r="A69" s="55"/>
      <c r="B69" s="33"/>
      <c r="C69" s="33"/>
      <c r="D69" s="33"/>
      <c r="E69" s="33"/>
      <c r="F69" s="33"/>
      <c r="G69" s="33"/>
      <c r="H69" s="46"/>
    </row>
    <row r="70">
      <c r="A70" s="55"/>
      <c r="B70" s="33"/>
      <c r="C70" s="33"/>
      <c r="D70" s="33"/>
      <c r="E70" s="33"/>
      <c r="F70" s="33"/>
      <c r="G70" s="33"/>
      <c r="H70" s="46"/>
    </row>
    <row r="71">
      <c r="A71" s="56"/>
      <c r="B71" s="48"/>
      <c r="C71" s="48"/>
      <c r="D71" s="48"/>
      <c r="E71" s="48"/>
      <c r="F71" s="48"/>
      <c r="G71" s="48"/>
      <c r="H71" s="49"/>
    </row>
    <row r="72">
      <c r="A72" s="40"/>
      <c r="B72" s="40"/>
      <c r="C72" s="40"/>
      <c r="D72" s="40"/>
      <c r="E72" s="40"/>
      <c r="F72" s="40"/>
      <c r="G72" s="40"/>
      <c r="H72" s="33"/>
    </row>
    <row r="73">
      <c r="A73" s="40"/>
      <c r="B73" s="40"/>
      <c r="C73" s="40"/>
      <c r="D73" s="40"/>
      <c r="E73" s="40"/>
      <c r="F73" s="40"/>
      <c r="G73" s="40"/>
      <c r="H73" s="33"/>
    </row>
    <row r="74">
      <c r="A74" s="88" t="s">
        <v>164</v>
      </c>
      <c r="B74" s="33"/>
      <c r="C74" s="33"/>
      <c r="D74" s="33"/>
      <c r="E74" s="33"/>
      <c r="F74" s="33"/>
      <c r="G74" s="33"/>
      <c r="H74" s="33"/>
    </row>
    <row r="75">
      <c r="A75" s="35" t="s">
        <v>1</v>
      </c>
      <c r="B75" s="36" t="s">
        <v>2</v>
      </c>
      <c r="C75" s="36" t="s">
        <v>3</v>
      </c>
      <c r="D75" s="36" t="s">
        <v>4</v>
      </c>
      <c r="E75" s="36" t="s">
        <v>5</v>
      </c>
      <c r="F75" s="36" t="s">
        <v>6</v>
      </c>
      <c r="G75" s="36" t="s">
        <v>7</v>
      </c>
      <c r="H75" s="37" t="s">
        <v>8</v>
      </c>
    </row>
    <row r="76">
      <c r="A76" s="6"/>
      <c r="B76" s="89">
        <v>41183.0</v>
      </c>
      <c r="C76" s="89">
        <v>44122.0</v>
      </c>
      <c r="D76" s="90">
        <v>44129.0</v>
      </c>
      <c r="E76" s="40" t="s">
        <v>165</v>
      </c>
      <c r="F76" s="40" t="s">
        <v>166</v>
      </c>
      <c r="G76" s="40">
        <v>8.8094826E7</v>
      </c>
      <c r="H76" s="51">
        <v>9.58081958E8</v>
      </c>
    </row>
    <row r="77">
      <c r="A77" s="12"/>
      <c r="B77" s="41" t="s">
        <v>13</v>
      </c>
      <c r="C77" s="41" t="s">
        <v>167</v>
      </c>
      <c r="D77" s="43"/>
      <c r="E77" s="43"/>
      <c r="F77" s="43"/>
      <c r="G77" s="43"/>
      <c r="H77" s="44"/>
    </row>
    <row r="78">
      <c r="A78" s="45" t="s">
        <v>14</v>
      </c>
      <c r="B78" s="40" t="s">
        <v>15</v>
      </c>
      <c r="C78" s="40" t="s">
        <v>16</v>
      </c>
      <c r="D78" s="40" t="s">
        <v>17</v>
      </c>
      <c r="E78" s="40" t="s">
        <v>18</v>
      </c>
      <c r="F78" s="40" t="s">
        <v>19</v>
      </c>
      <c r="G78" s="40" t="s">
        <v>20</v>
      </c>
      <c r="H78" s="46"/>
    </row>
    <row r="79">
      <c r="A79" s="12"/>
      <c r="B79" s="47"/>
      <c r="C79" s="53" t="s">
        <v>109</v>
      </c>
      <c r="D79" s="48"/>
      <c r="E79" s="48"/>
      <c r="F79" s="48"/>
      <c r="G79" s="48"/>
      <c r="H79" s="49"/>
    </row>
    <row r="80">
      <c r="A80" s="45" t="s">
        <v>21</v>
      </c>
      <c r="B80" s="40" t="s">
        <v>22</v>
      </c>
      <c r="C80" s="40" t="s">
        <v>23</v>
      </c>
      <c r="D80" s="40" t="s">
        <v>24</v>
      </c>
      <c r="E80" s="40" t="s">
        <v>25</v>
      </c>
      <c r="F80" s="40" t="s">
        <v>26</v>
      </c>
      <c r="G80" s="40" t="s">
        <v>27</v>
      </c>
      <c r="H80" s="46"/>
    </row>
    <row r="81">
      <c r="A81" s="12"/>
      <c r="B81" s="48"/>
      <c r="C81" s="53" t="s">
        <v>168</v>
      </c>
      <c r="D81" s="48"/>
      <c r="E81" s="48"/>
      <c r="F81" s="48"/>
      <c r="G81" s="48"/>
      <c r="H81" s="49"/>
    </row>
    <row r="82">
      <c r="A82" s="45" t="s">
        <v>28</v>
      </c>
      <c r="B82" s="33"/>
      <c r="C82" s="40" t="s">
        <v>15</v>
      </c>
      <c r="D82" s="40" t="s">
        <v>16</v>
      </c>
      <c r="E82" s="40" t="s">
        <v>17</v>
      </c>
      <c r="F82" s="40" t="s">
        <v>18</v>
      </c>
      <c r="G82" s="40" t="s">
        <v>19</v>
      </c>
      <c r="H82" s="51" t="s">
        <v>20</v>
      </c>
    </row>
    <row r="83">
      <c r="A83" s="6"/>
      <c r="B83" s="40" t="s">
        <v>30</v>
      </c>
      <c r="C83" s="33"/>
      <c r="D83" s="40"/>
      <c r="E83" s="87">
        <f>43/48</f>
        <v>0.8958333333</v>
      </c>
      <c r="F83" s="33"/>
      <c r="G83" s="33"/>
      <c r="H83" s="46"/>
    </row>
    <row r="84">
      <c r="A84" s="6"/>
      <c r="B84" s="40" t="s">
        <v>31</v>
      </c>
      <c r="C84" s="40"/>
      <c r="D84" s="40">
        <v>93.85</v>
      </c>
      <c r="E84" s="33"/>
      <c r="F84" s="33"/>
      <c r="G84" s="33"/>
      <c r="H84" s="46"/>
    </row>
    <row r="85">
      <c r="A85" s="12"/>
      <c r="B85" s="53" t="s">
        <v>32</v>
      </c>
      <c r="C85" s="53"/>
      <c r="D85" s="53">
        <v>87.25</v>
      </c>
      <c r="E85" s="48"/>
      <c r="F85" s="48"/>
      <c r="G85" s="48"/>
      <c r="H85" s="49"/>
    </row>
    <row r="86">
      <c r="A86" s="54" t="s">
        <v>33</v>
      </c>
      <c r="C86" s="33"/>
      <c r="D86" s="33"/>
      <c r="E86" s="33"/>
      <c r="F86" s="33"/>
      <c r="G86" s="33"/>
      <c r="H86" s="46"/>
    </row>
    <row r="87">
      <c r="A87" s="55"/>
      <c r="B87" s="33"/>
      <c r="C87" s="33"/>
      <c r="D87" s="33"/>
      <c r="E87" s="33"/>
      <c r="F87" s="33"/>
      <c r="G87" s="33"/>
      <c r="H87" s="46"/>
    </row>
    <row r="88">
      <c r="A88" s="55"/>
      <c r="B88" s="33"/>
      <c r="C88" s="33"/>
      <c r="D88" s="33"/>
      <c r="E88" s="33"/>
      <c r="F88" s="33"/>
      <c r="G88" s="33"/>
      <c r="H88" s="46"/>
    </row>
    <row r="89">
      <c r="A89" s="55"/>
      <c r="B89" s="33"/>
      <c r="C89" s="33"/>
      <c r="D89" s="33"/>
      <c r="E89" s="33"/>
      <c r="F89" s="33"/>
      <c r="G89" s="33"/>
      <c r="H89" s="46"/>
    </row>
    <row r="90">
      <c r="A90" s="56"/>
      <c r="B90" s="48"/>
      <c r="C90" s="48"/>
      <c r="D90" s="48"/>
      <c r="E90" s="48"/>
      <c r="F90" s="48"/>
      <c r="G90" s="48"/>
      <c r="H90" s="49"/>
    </row>
    <row r="91">
      <c r="A91" s="40"/>
      <c r="B91" s="40"/>
      <c r="C91" s="40"/>
      <c r="D91" s="40"/>
      <c r="E91" s="40"/>
      <c r="F91" s="40"/>
      <c r="G91" s="40"/>
      <c r="H91" s="33"/>
    </row>
    <row r="92">
      <c r="A92" s="40"/>
      <c r="B92" s="40"/>
      <c r="C92" s="40"/>
      <c r="D92" s="40"/>
      <c r="E92" s="40"/>
      <c r="F92" s="40"/>
      <c r="G92" s="40"/>
      <c r="H92" s="33"/>
    </row>
    <row r="93">
      <c r="A93" s="88" t="s">
        <v>169</v>
      </c>
      <c r="B93" s="33"/>
      <c r="C93" s="33"/>
      <c r="D93" s="33"/>
      <c r="E93" s="33"/>
      <c r="F93" s="33"/>
      <c r="G93" s="33"/>
      <c r="H93" s="33"/>
    </row>
    <row r="94">
      <c r="A94" s="35" t="s">
        <v>1</v>
      </c>
      <c r="B94" s="36" t="s">
        <v>2</v>
      </c>
      <c r="C94" s="36" t="s">
        <v>3</v>
      </c>
      <c r="D94" s="36" t="s">
        <v>4</v>
      </c>
      <c r="E94" s="36" t="s">
        <v>5</v>
      </c>
      <c r="F94" s="36" t="s">
        <v>6</v>
      </c>
      <c r="G94" s="36" t="s">
        <v>7</v>
      </c>
      <c r="H94" s="37" t="s">
        <v>8</v>
      </c>
    </row>
    <row r="95">
      <c r="A95" s="6"/>
      <c r="B95" s="40" t="s">
        <v>170</v>
      </c>
      <c r="C95" s="40" t="s">
        <v>171</v>
      </c>
      <c r="D95" s="40">
        <v>2021.0</v>
      </c>
      <c r="E95" s="40" t="s">
        <v>172</v>
      </c>
      <c r="F95" s="40" t="s">
        <v>173</v>
      </c>
      <c r="G95" s="40">
        <v>2.8227036E7</v>
      </c>
      <c r="H95" s="51"/>
    </row>
    <row r="96">
      <c r="A96" s="12"/>
      <c r="B96" s="41" t="s">
        <v>13</v>
      </c>
      <c r="C96" s="41" t="s">
        <v>174</v>
      </c>
      <c r="D96" s="43"/>
      <c r="E96" s="43"/>
      <c r="F96" s="43"/>
      <c r="G96" s="43"/>
      <c r="H96" s="44"/>
    </row>
    <row r="97">
      <c r="A97" s="45" t="s">
        <v>14</v>
      </c>
      <c r="B97" s="40" t="s">
        <v>15</v>
      </c>
      <c r="C97" s="40" t="s">
        <v>16</v>
      </c>
      <c r="D97" s="40" t="s">
        <v>17</v>
      </c>
      <c r="E97" s="40" t="s">
        <v>18</v>
      </c>
      <c r="F97" s="40" t="s">
        <v>19</v>
      </c>
      <c r="G97" s="40" t="s">
        <v>20</v>
      </c>
      <c r="H97" s="46"/>
    </row>
    <row r="98">
      <c r="A98" s="12"/>
      <c r="B98" s="47"/>
      <c r="C98" s="53" t="s">
        <v>175</v>
      </c>
      <c r="D98" s="48"/>
      <c r="E98" s="48"/>
      <c r="F98" s="48"/>
      <c r="G98" s="48"/>
      <c r="H98" s="49"/>
    </row>
    <row r="99">
      <c r="A99" s="45" t="s">
        <v>21</v>
      </c>
      <c r="B99" s="40" t="s">
        <v>22</v>
      </c>
      <c r="C99" s="40" t="s">
        <v>23</v>
      </c>
      <c r="D99" s="40" t="s">
        <v>24</v>
      </c>
      <c r="E99" s="40" t="s">
        <v>25</v>
      </c>
      <c r="F99" s="40" t="s">
        <v>26</v>
      </c>
      <c r="G99" s="40" t="s">
        <v>27</v>
      </c>
      <c r="H99" s="46"/>
    </row>
    <row r="100">
      <c r="A100" s="12"/>
      <c r="B100" s="48"/>
      <c r="C100" s="53" t="s">
        <v>138</v>
      </c>
      <c r="D100" s="53"/>
      <c r="E100" s="48"/>
      <c r="F100" s="48"/>
      <c r="G100" s="48"/>
      <c r="H100" s="49"/>
    </row>
    <row r="101">
      <c r="A101" s="45" t="s">
        <v>28</v>
      </c>
      <c r="B101" s="33"/>
      <c r="C101" s="40" t="s">
        <v>15</v>
      </c>
      <c r="D101" s="40" t="s">
        <v>16</v>
      </c>
      <c r="E101" s="40" t="s">
        <v>17</v>
      </c>
      <c r="F101" s="40" t="s">
        <v>18</v>
      </c>
      <c r="G101" s="40" t="s">
        <v>19</v>
      </c>
      <c r="H101" s="51" t="s">
        <v>20</v>
      </c>
    </row>
    <row r="102">
      <c r="A102" s="6"/>
      <c r="B102" s="40" t="s">
        <v>30</v>
      </c>
      <c r="C102" s="33"/>
      <c r="D102" s="40"/>
      <c r="E102" s="87">
        <f>34/37</f>
        <v>0.9189189189</v>
      </c>
      <c r="F102" s="33"/>
      <c r="G102" s="33"/>
      <c r="H102" s="46"/>
    </row>
    <row r="103">
      <c r="A103" s="6"/>
      <c r="B103" s="40" t="s">
        <v>31</v>
      </c>
      <c r="C103" s="40"/>
      <c r="D103" s="40">
        <v>100.0</v>
      </c>
      <c r="E103" s="33"/>
      <c r="F103" s="33"/>
      <c r="G103" s="33"/>
      <c r="H103" s="46"/>
    </row>
    <row r="104">
      <c r="A104" s="12"/>
      <c r="B104" s="53" t="s">
        <v>32</v>
      </c>
      <c r="C104" s="53"/>
      <c r="D104" s="53">
        <v>87.25</v>
      </c>
      <c r="E104" s="48"/>
      <c r="F104" s="48"/>
      <c r="G104" s="48"/>
      <c r="H104" s="49"/>
    </row>
    <row r="105">
      <c r="A105" s="54" t="s">
        <v>33</v>
      </c>
      <c r="C105" s="33"/>
      <c r="D105" s="33"/>
      <c r="E105" s="33"/>
      <c r="F105" s="33"/>
      <c r="G105" s="33"/>
      <c r="H105" s="46"/>
    </row>
    <row r="106">
      <c r="A106" s="54" t="s">
        <v>176</v>
      </c>
      <c r="B106" s="33"/>
      <c r="C106" s="33"/>
      <c r="D106" s="33"/>
      <c r="E106" s="33"/>
      <c r="F106" s="33"/>
      <c r="G106" s="33"/>
      <c r="H106" s="46"/>
    </row>
    <row r="107">
      <c r="A107" s="54" t="s">
        <v>177</v>
      </c>
      <c r="B107" s="33"/>
      <c r="C107" s="33"/>
      <c r="D107" s="33"/>
      <c r="E107" s="40"/>
      <c r="F107" s="33"/>
      <c r="G107" s="33"/>
      <c r="H107" s="46"/>
    </row>
    <row r="108">
      <c r="A108" s="54" t="s">
        <v>178</v>
      </c>
      <c r="B108" s="33"/>
      <c r="C108" s="33"/>
      <c r="D108" s="33"/>
      <c r="E108" s="33"/>
      <c r="F108" s="33"/>
      <c r="G108" s="33"/>
      <c r="H108" s="46"/>
    </row>
    <row r="109">
      <c r="A109" s="81" t="s">
        <v>179</v>
      </c>
      <c r="B109" s="48"/>
      <c r="C109" s="48"/>
      <c r="D109" s="48"/>
      <c r="E109" s="48"/>
      <c r="F109" s="48"/>
      <c r="G109" s="48"/>
      <c r="H109" s="49"/>
    </row>
  </sheetData>
  <mergeCells count="32">
    <mergeCell ref="A2:A4"/>
    <mergeCell ref="C4:F4"/>
    <mergeCell ref="A5:A6"/>
    <mergeCell ref="A7:A8"/>
    <mergeCell ref="A9:A12"/>
    <mergeCell ref="A13:B13"/>
    <mergeCell ref="C23:F23"/>
    <mergeCell ref="A21:A23"/>
    <mergeCell ref="A24:A25"/>
    <mergeCell ref="A26:A27"/>
    <mergeCell ref="A28:A31"/>
    <mergeCell ref="A32:B32"/>
    <mergeCell ref="A38:A40"/>
    <mergeCell ref="A41:A42"/>
    <mergeCell ref="A43:A44"/>
    <mergeCell ref="A45:A48"/>
    <mergeCell ref="A49:B49"/>
    <mergeCell ref="A56:A58"/>
    <mergeCell ref="A59:A60"/>
    <mergeCell ref="A61:A62"/>
    <mergeCell ref="A67:B67"/>
    <mergeCell ref="A97:A98"/>
    <mergeCell ref="A99:A100"/>
    <mergeCell ref="A101:A104"/>
    <mergeCell ref="A105:B105"/>
    <mergeCell ref="A63:A66"/>
    <mergeCell ref="A75:A77"/>
    <mergeCell ref="A78:A79"/>
    <mergeCell ref="A80:A81"/>
    <mergeCell ref="A82:A85"/>
    <mergeCell ref="A86:B86"/>
    <mergeCell ref="A94:A9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1.22" defaultRowHeight="15.0"/>
  <cols>
    <col customWidth="1" min="1" max="2" width="12.33"/>
    <col customWidth="1" min="3" max="3" width="13.44"/>
    <col customWidth="1" min="4" max="7" width="12.33"/>
    <col customWidth="1" min="8" max="8" width="16.22"/>
  </cols>
  <sheetData>
    <row r="1">
      <c r="A1" s="40" t="s">
        <v>180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3"/>
      <c r="J2" s="33"/>
      <c r="K2" s="33"/>
      <c r="L2" s="33"/>
      <c r="M2" s="33"/>
    </row>
    <row r="3">
      <c r="A3" s="6"/>
      <c r="B3" s="40" t="s">
        <v>181</v>
      </c>
      <c r="C3" s="40" t="s">
        <v>182</v>
      </c>
      <c r="D3" s="33"/>
      <c r="E3" s="40" t="s">
        <v>183</v>
      </c>
      <c r="F3" s="40" t="s">
        <v>184</v>
      </c>
      <c r="G3" s="40" t="s">
        <v>185</v>
      </c>
      <c r="H3" s="51">
        <v>9.37521554E8</v>
      </c>
      <c r="I3" s="33"/>
      <c r="J3" s="33"/>
      <c r="K3" s="33"/>
      <c r="L3" s="33"/>
      <c r="M3" s="33"/>
    </row>
    <row r="4">
      <c r="A4" s="12"/>
      <c r="B4" s="41" t="s">
        <v>13</v>
      </c>
      <c r="C4" s="41" t="s">
        <v>186</v>
      </c>
      <c r="D4" s="73"/>
      <c r="E4" s="73"/>
      <c r="F4" s="73"/>
      <c r="G4" s="43"/>
      <c r="H4" s="44"/>
      <c r="I4" s="33"/>
      <c r="J4" s="33"/>
      <c r="K4" s="33"/>
      <c r="L4" s="33"/>
      <c r="M4" s="33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3"/>
      <c r="J5" s="33"/>
      <c r="K5" s="33"/>
      <c r="L5" s="33"/>
      <c r="M5" s="33"/>
    </row>
    <row r="6">
      <c r="A6" s="12"/>
      <c r="B6" s="47" t="s">
        <v>86</v>
      </c>
      <c r="C6" s="48"/>
      <c r="D6" s="53" t="s">
        <v>87</v>
      </c>
      <c r="E6" s="48"/>
      <c r="F6" s="48"/>
      <c r="G6" s="48"/>
      <c r="H6" s="49"/>
      <c r="I6" s="33"/>
      <c r="J6" s="33"/>
      <c r="K6" s="33"/>
      <c r="L6" s="33"/>
      <c r="M6" s="33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3"/>
      <c r="J7" s="33"/>
      <c r="K7" s="33"/>
      <c r="L7" s="33"/>
      <c r="M7" s="33"/>
    </row>
    <row r="8">
      <c r="A8" s="12"/>
      <c r="B8" s="53" t="s">
        <v>187</v>
      </c>
      <c r="C8" s="53" t="s">
        <v>188</v>
      </c>
      <c r="D8" s="48"/>
      <c r="E8" s="48"/>
      <c r="F8" s="48"/>
      <c r="G8" s="48"/>
      <c r="H8" s="49"/>
      <c r="I8" s="33"/>
      <c r="J8" s="33"/>
      <c r="K8" s="33"/>
      <c r="L8" s="33"/>
      <c r="M8" s="33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3"/>
      <c r="J9" s="33"/>
      <c r="K9" s="33"/>
      <c r="L9" s="33"/>
      <c r="M9" s="33"/>
    </row>
    <row r="10">
      <c r="A10" s="6"/>
      <c r="B10" s="40" t="s">
        <v>30</v>
      </c>
      <c r="C10" s="52">
        <v>67.5</v>
      </c>
      <c r="D10" s="40">
        <v>89.47</v>
      </c>
      <c r="E10" s="40">
        <v>89.8</v>
      </c>
      <c r="F10" s="33"/>
      <c r="G10" s="33"/>
      <c r="H10" s="46"/>
      <c r="I10" s="33"/>
      <c r="J10" s="33"/>
      <c r="K10" s="33"/>
      <c r="L10" s="33"/>
      <c r="M10" s="33"/>
    </row>
    <row r="11">
      <c r="A11" s="6"/>
      <c r="B11" s="40" t="s">
        <v>31</v>
      </c>
      <c r="C11" s="33"/>
      <c r="D11" s="40">
        <v>83.825</v>
      </c>
      <c r="E11" s="87">
        <f>46/48</f>
        <v>0.9583333333</v>
      </c>
      <c r="G11" s="33"/>
      <c r="H11" s="46"/>
      <c r="I11" s="33"/>
      <c r="J11" s="33"/>
      <c r="K11" s="33"/>
      <c r="L11" s="33"/>
      <c r="M11" s="33"/>
    </row>
    <row r="12">
      <c r="A12" s="12"/>
      <c r="B12" s="53" t="s">
        <v>32</v>
      </c>
      <c r="C12" s="48"/>
      <c r="D12" s="53">
        <v>93.85</v>
      </c>
      <c r="E12" s="48"/>
      <c r="F12" s="48"/>
      <c r="G12" s="48"/>
      <c r="H12" s="49"/>
      <c r="I12" s="33"/>
      <c r="J12" s="33"/>
      <c r="K12" s="33"/>
      <c r="L12" s="33"/>
      <c r="M12" s="33"/>
    </row>
    <row r="13">
      <c r="A13" s="54" t="s">
        <v>33</v>
      </c>
      <c r="B13" s="40"/>
      <c r="C13" s="33"/>
      <c r="D13" s="33"/>
      <c r="E13" s="33"/>
      <c r="F13" s="33"/>
      <c r="G13" s="33"/>
      <c r="H13" s="46"/>
      <c r="I13" s="33"/>
      <c r="J13" s="33"/>
      <c r="K13" s="33"/>
      <c r="L13" s="33"/>
      <c r="M13" s="33"/>
    </row>
    <row r="14">
      <c r="A14" s="55"/>
      <c r="B14" s="33"/>
      <c r="C14" s="33"/>
      <c r="D14" s="40"/>
      <c r="E14" s="33"/>
      <c r="F14" s="33"/>
      <c r="G14" s="33"/>
      <c r="H14" s="46"/>
      <c r="I14" s="33"/>
      <c r="J14" s="33"/>
      <c r="K14" s="33"/>
      <c r="L14" s="33"/>
      <c r="M14" s="33"/>
    </row>
    <row r="15">
      <c r="A15" s="91"/>
      <c r="B15" s="33"/>
      <c r="C15" s="33"/>
      <c r="D15" s="33"/>
      <c r="E15" s="33"/>
      <c r="F15" s="33"/>
      <c r="G15" s="33"/>
      <c r="H15" s="46"/>
      <c r="I15" s="33"/>
      <c r="J15" s="33"/>
      <c r="K15" s="33"/>
      <c r="L15" s="33"/>
      <c r="M15" s="33"/>
    </row>
    <row r="16">
      <c r="A16" s="56"/>
      <c r="B16" s="48"/>
      <c r="C16" s="48"/>
      <c r="D16" s="48"/>
      <c r="E16" s="48"/>
      <c r="F16" s="48"/>
      <c r="G16" s="48"/>
      <c r="H16" s="49"/>
      <c r="I16" s="33"/>
      <c r="J16" s="33"/>
      <c r="K16" s="33"/>
      <c r="L16" s="33"/>
      <c r="M16" s="33"/>
    </row>
    <row r="17">
      <c r="I17" s="33"/>
      <c r="J17" s="33"/>
      <c r="K17" s="33"/>
      <c r="L17" s="33"/>
      <c r="M17" s="33"/>
    </row>
    <row r="18">
      <c r="I18" s="33"/>
      <c r="J18" s="33"/>
      <c r="K18" s="33"/>
      <c r="L18" s="33"/>
      <c r="M18" s="33"/>
    </row>
    <row r="19">
      <c r="I19" s="33"/>
      <c r="J19" s="33"/>
      <c r="K19" s="33"/>
      <c r="L19" s="33"/>
      <c r="M19" s="33"/>
    </row>
    <row r="20">
      <c r="I20" s="33"/>
      <c r="J20" s="33"/>
      <c r="K20" s="33"/>
      <c r="L20" s="33"/>
      <c r="M20" s="33"/>
    </row>
    <row r="21">
      <c r="I21" s="33"/>
      <c r="J21" s="33"/>
      <c r="K21" s="33"/>
      <c r="L21" s="33"/>
      <c r="M21" s="33"/>
    </row>
    <row r="22">
      <c r="I22" s="33"/>
      <c r="J22" s="33"/>
      <c r="K22" s="33"/>
      <c r="L22" s="33"/>
      <c r="M22" s="33"/>
    </row>
    <row r="23">
      <c r="I23" s="33"/>
      <c r="J23" s="33"/>
      <c r="K23" s="33"/>
      <c r="L23" s="33"/>
      <c r="M23" s="33"/>
    </row>
    <row r="24">
      <c r="A24" s="40" t="s">
        <v>189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</row>
    <row r="25">
      <c r="A25" s="35" t="s">
        <v>1</v>
      </c>
      <c r="B25" s="36" t="s">
        <v>2</v>
      </c>
      <c r="C25" s="36" t="s">
        <v>3</v>
      </c>
      <c r="D25" s="36" t="s">
        <v>4</v>
      </c>
      <c r="E25" s="36" t="s">
        <v>5</v>
      </c>
      <c r="F25" s="36" t="s">
        <v>6</v>
      </c>
      <c r="G25" s="36" t="s">
        <v>7</v>
      </c>
      <c r="H25" s="37" t="s">
        <v>8</v>
      </c>
      <c r="I25" s="33"/>
      <c r="J25" s="33"/>
      <c r="K25" s="33"/>
      <c r="L25" s="33"/>
      <c r="M25" s="33"/>
    </row>
    <row r="26">
      <c r="A26" s="6"/>
      <c r="B26" s="40"/>
      <c r="C26" s="40"/>
      <c r="D26" s="33"/>
      <c r="E26" s="40"/>
      <c r="F26" s="40"/>
      <c r="G26" s="40"/>
      <c r="H26" s="51"/>
      <c r="I26" s="33"/>
      <c r="J26" s="33"/>
      <c r="K26" s="33"/>
      <c r="L26" s="33"/>
      <c r="M26" s="33"/>
    </row>
    <row r="27">
      <c r="A27" s="12"/>
      <c r="B27" s="41" t="s">
        <v>13</v>
      </c>
      <c r="C27" s="41"/>
      <c r="D27" s="73"/>
      <c r="E27" s="73"/>
      <c r="F27" s="73"/>
      <c r="G27" s="43"/>
      <c r="H27" s="44"/>
      <c r="I27" s="33"/>
      <c r="J27" s="33"/>
      <c r="K27" s="33"/>
      <c r="L27" s="33"/>
      <c r="M27" s="33"/>
    </row>
    <row r="28">
      <c r="A28" s="45" t="s">
        <v>14</v>
      </c>
      <c r="B28" s="40" t="s">
        <v>15</v>
      </c>
      <c r="C28" s="40" t="s">
        <v>16</v>
      </c>
      <c r="D28" s="40" t="s">
        <v>17</v>
      </c>
      <c r="E28" s="40" t="s">
        <v>18</v>
      </c>
      <c r="F28" s="40" t="s">
        <v>19</v>
      </c>
      <c r="G28" s="40" t="s">
        <v>20</v>
      </c>
      <c r="H28" s="46"/>
      <c r="I28" s="33"/>
      <c r="J28" s="33"/>
      <c r="K28" s="33"/>
      <c r="L28" s="33"/>
      <c r="M28" s="33"/>
    </row>
    <row r="29">
      <c r="A29" s="12"/>
      <c r="B29" s="47"/>
      <c r="C29" s="48"/>
      <c r="D29" s="53"/>
      <c r="E29" s="48"/>
      <c r="F29" s="48"/>
      <c r="G29" s="48"/>
      <c r="H29" s="49"/>
      <c r="I29" s="33"/>
      <c r="J29" s="33"/>
      <c r="K29" s="33"/>
      <c r="L29" s="33"/>
      <c r="M29" s="33"/>
    </row>
    <row r="30">
      <c r="A30" s="45" t="s">
        <v>21</v>
      </c>
      <c r="B30" s="40" t="s">
        <v>22</v>
      </c>
      <c r="C30" s="40" t="s">
        <v>23</v>
      </c>
      <c r="D30" s="40" t="s">
        <v>24</v>
      </c>
      <c r="E30" s="40" t="s">
        <v>25</v>
      </c>
      <c r="F30" s="40" t="s">
        <v>26</v>
      </c>
      <c r="G30" s="40" t="s">
        <v>27</v>
      </c>
      <c r="H30" s="46"/>
      <c r="I30" s="33"/>
      <c r="J30" s="33"/>
      <c r="K30" s="33"/>
      <c r="L30" s="33"/>
      <c r="M30" s="33"/>
    </row>
    <row r="31">
      <c r="A31" s="12"/>
      <c r="B31" s="53"/>
      <c r="C31" s="53"/>
      <c r="D31" s="48"/>
      <c r="E31" s="48"/>
      <c r="F31" s="48"/>
      <c r="G31" s="48"/>
      <c r="H31" s="49"/>
      <c r="I31" s="33"/>
      <c r="J31" s="33"/>
      <c r="K31" s="33"/>
      <c r="L31" s="33"/>
      <c r="M31" s="33"/>
    </row>
    <row r="32">
      <c r="A32" s="45" t="s">
        <v>28</v>
      </c>
      <c r="B32" s="33"/>
      <c r="C32" s="40" t="s">
        <v>15</v>
      </c>
      <c r="D32" s="40" t="s">
        <v>16</v>
      </c>
      <c r="E32" s="40" t="s">
        <v>17</v>
      </c>
      <c r="F32" s="40" t="s">
        <v>18</v>
      </c>
      <c r="G32" s="40" t="s">
        <v>19</v>
      </c>
      <c r="H32" s="51" t="s">
        <v>20</v>
      </c>
      <c r="I32" s="33"/>
      <c r="J32" s="33"/>
      <c r="K32" s="33"/>
      <c r="L32" s="33"/>
      <c r="M32" s="33"/>
    </row>
    <row r="33">
      <c r="A33" s="6"/>
      <c r="B33" s="40" t="s">
        <v>30</v>
      </c>
      <c r="C33" s="52"/>
      <c r="D33" s="40"/>
      <c r="E33" s="40"/>
      <c r="F33" s="33"/>
      <c r="G33" s="33"/>
      <c r="H33" s="46"/>
      <c r="I33" s="33"/>
      <c r="J33" s="33"/>
      <c r="K33" s="33"/>
      <c r="L33" s="33"/>
      <c r="M33" s="33"/>
    </row>
    <row r="34">
      <c r="A34" s="6"/>
      <c r="B34" s="40" t="s">
        <v>31</v>
      </c>
      <c r="C34" s="33"/>
      <c r="D34" s="40"/>
      <c r="E34" s="87"/>
      <c r="G34" s="33"/>
      <c r="H34" s="46"/>
      <c r="I34" s="33"/>
      <c r="J34" s="33"/>
      <c r="K34" s="33"/>
      <c r="L34" s="33"/>
      <c r="M34" s="33"/>
    </row>
    <row r="35">
      <c r="A35" s="12"/>
      <c r="B35" s="53" t="s">
        <v>32</v>
      </c>
      <c r="C35" s="48"/>
      <c r="D35" s="53"/>
      <c r="E35" s="48"/>
      <c r="F35" s="48"/>
      <c r="G35" s="48"/>
      <c r="H35" s="49"/>
      <c r="I35" s="33"/>
      <c r="J35" s="33"/>
      <c r="K35" s="33"/>
      <c r="L35" s="33"/>
      <c r="M35" s="33"/>
    </row>
    <row r="36">
      <c r="A36" s="54" t="s">
        <v>33</v>
      </c>
      <c r="B36" s="40"/>
      <c r="C36" s="33"/>
      <c r="D36" s="33"/>
      <c r="E36" s="33"/>
      <c r="F36" s="33"/>
      <c r="G36" s="33"/>
      <c r="H36" s="46"/>
      <c r="I36" s="33"/>
      <c r="J36" s="33"/>
      <c r="K36" s="33"/>
      <c r="L36" s="33"/>
      <c r="M36" s="33"/>
    </row>
    <row r="37">
      <c r="A37" s="55"/>
      <c r="B37" s="33"/>
      <c r="C37" s="33"/>
      <c r="D37" s="40"/>
      <c r="E37" s="33"/>
      <c r="F37" s="33"/>
      <c r="G37" s="33"/>
      <c r="H37" s="46"/>
      <c r="I37" s="33"/>
      <c r="J37" s="33"/>
      <c r="K37" s="33"/>
      <c r="L37" s="33"/>
      <c r="M37" s="33"/>
    </row>
    <row r="38">
      <c r="A38" s="91"/>
      <c r="B38" s="33"/>
      <c r="C38" s="33"/>
      <c r="D38" s="33"/>
      <c r="E38" s="33"/>
      <c r="F38" s="33"/>
      <c r="G38" s="33"/>
      <c r="H38" s="46"/>
      <c r="I38" s="33"/>
      <c r="J38" s="33"/>
      <c r="K38" s="33"/>
      <c r="L38" s="33"/>
      <c r="M38" s="33"/>
    </row>
    <row r="39">
      <c r="A39" s="56"/>
      <c r="B39" s="48"/>
      <c r="C39" s="48"/>
      <c r="D39" s="48"/>
      <c r="E39" s="48"/>
      <c r="F39" s="48"/>
      <c r="G39" s="48"/>
      <c r="H39" s="49"/>
      <c r="I39" s="33"/>
      <c r="J39" s="33"/>
      <c r="K39" s="33"/>
      <c r="L39" s="33"/>
      <c r="M39" s="33"/>
    </row>
    <row r="40">
      <c r="I40" s="33"/>
      <c r="J40" s="33"/>
      <c r="K40" s="33"/>
      <c r="L40" s="33"/>
      <c r="M40" s="33"/>
    </row>
    <row r="41">
      <c r="I41" s="33"/>
      <c r="J41" s="33"/>
      <c r="K41" s="33"/>
      <c r="L41" s="33"/>
      <c r="M41" s="33"/>
    </row>
    <row r="42">
      <c r="I42" s="33"/>
      <c r="J42" s="33"/>
      <c r="K42" s="33"/>
      <c r="L42" s="33"/>
      <c r="M42" s="33"/>
    </row>
    <row r="43">
      <c r="I43" s="33"/>
      <c r="J43" s="33"/>
      <c r="K43" s="33"/>
      <c r="L43" s="33"/>
      <c r="M43" s="33"/>
    </row>
    <row r="44">
      <c r="I44" s="33"/>
      <c r="J44" s="33"/>
      <c r="K44" s="33"/>
      <c r="L44" s="33"/>
      <c r="M44" s="33"/>
    </row>
    <row r="45">
      <c r="I45" s="33"/>
      <c r="J45" s="33"/>
      <c r="K45" s="33"/>
      <c r="L45" s="33"/>
      <c r="M45" s="33"/>
    </row>
    <row r="46">
      <c r="I46" s="33"/>
      <c r="J46" s="33"/>
      <c r="K46" s="33"/>
      <c r="L46" s="33"/>
      <c r="M46" s="33"/>
    </row>
    <row r="47">
      <c r="I47" s="33"/>
      <c r="J47" s="33"/>
      <c r="K47" s="33"/>
      <c r="L47" s="33"/>
      <c r="M47" s="33"/>
    </row>
    <row r="48">
      <c r="I48" s="33"/>
      <c r="J48" s="33"/>
      <c r="K48" s="33"/>
      <c r="L48" s="33"/>
      <c r="M48" s="33"/>
    </row>
    <row r="49">
      <c r="I49" s="33"/>
      <c r="J49" s="33"/>
      <c r="K49" s="33"/>
      <c r="L49" s="33"/>
      <c r="M49" s="33"/>
    </row>
    <row r="50">
      <c r="I50" s="33"/>
      <c r="J50" s="33"/>
      <c r="K50" s="33"/>
      <c r="L50" s="33"/>
      <c r="M50" s="33"/>
    </row>
    <row r="51">
      <c r="I51" s="33"/>
      <c r="J51" s="33"/>
      <c r="K51" s="33"/>
      <c r="L51" s="33"/>
      <c r="M51" s="33"/>
    </row>
    <row r="52">
      <c r="I52" s="33"/>
      <c r="J52" s="33"/>
      <c r="K52" s="33"/>
      <c r="L52" s="33"/>
      <c r="M52" s="33"/>
    </row>
    <row r="53">
      <c r="A53" s="34"/>
      <c r="B53" s="34"/>
      <c r="C53" s="34"/>
      <c r="D53" s="34"/>
      <c r="E53" s="34"/>
      <c r="F53" s="34"/>
      <c r="G53" s="34"/>
      <c r="H53" s="34"/>
      <c r="I53" s="33"/>
      <c r="J53" s="33"/>
      <c r="K53" s="33"/>
      <c r="L53" s="33"/>
      <c r="M53" s="33"/>
    </row>
    <row r="54">
      <c r="A54" s="34"/>
      <c r="B54" s="34"/>
      <c r="C54" s="34"/>
      <c r="D54" s="34"/>
      <c r="E54" s="34"/>
      <c r="F54" s="34"/>
      <c r="G54" s="34"/>
      <c r="H54" s="34"/>
      <c r="I54" s="33"/>
      <c r="J54" s="33"/>
      <c r="K54" s="33"/>
      <c r="L54" s="33"/>
      <c r="M54" s="33"/>
    </row>
    <row r="55">
      <c r="A55" s="34"/>
      <c r="B55" s="34"/>
      <c r="C55" s="34"/>
      <c r="D55" s="34"/>
      <c r="E55" s="34"/>
      <c r="F55" s="34"/>
      <c r="G55" s="34"/>
      <c r="H55" s="34"/>
      <c r="I55" s="33"/>
      <c r="J55" s="33"/>
      <c r="K55" s="33"/>
      <c r="L55" s="33"/>
      <c r="M55" s="33"/>
    </row>
    <row r="56">
      <c r="A56" s="34"/>
      <c r="B56" s="34"/>
      <c r="C56" s="34"/>
      <c r="D56" s="34"/>
      <c r="E56" s="34"/>
      <c r="F56" s="34"/>
      <c r="G56" s="34"/>
      <c r="H56" s="34"/>
      <c r="I56" s="33"/>
      <c r="J56" s="33"/>
      <c r="K56" s="33"/>
      <c r="L56" s="33"/>
      <c r="M56" s="33"/>
    </row>
    <row r="57">
      <c r="A57" s="34"/>
      <c r="B57" s="34"/>
      <c r="C57" s="34"/>
      <c r="D57" s="34"/>
      <c r="E57" s="34"/>
      <c r="F57" s="34"/>
      <c r="G57" s="34"/>
      <c r="H57" s="34"/>
      <c r="I57" s="33"/>
      <c r="J57" s="33"/>
      <c r="K57" s="33"/>
      <c r="L57" s="33"/>
      <c r="M57" s="33"/>
    </row>
    <row r="58">
      <c r="A58" s="34"/>
      <c r="B58" s="34"/>
      <c r="C58" s="34"/>
      <c r="D58" s="34"/>
      <c r="E58" s="34"/>
      <c r="F58" s="34"/>
      <c r="G58" s="34"/>
      <c r="H58" s="34"/>
      <c r="I58" s="33"/>
      <c r="J58" s="33"/>
      <c r="K58" s="33"/>
      <c r="L58" s="33"/>
      <c r="M58" s="33"/>
    </row>
    <row r="59">
      <c r="A59" s="34"/>
      <c r="B59" s="34"/>
      <c r="C59" s="34"/>
      <c r="D59" s="34"/>
      <c r="E59" s="34"/>
      <c r="F59" s="34"/>
      <c r="G59" s="34"/>
      <c r="H59" s="34"/>
      <c r="I59" s="33"/>
      <c r="J59" s="33"/>
      <c r="K59" s="33"/>
      <c r="L59" s="33"/>
      <c r="M59" s="33"/>
    </row>
    <row r="60">
      <c r="I60" s="33"/>
      <c r="J60" s="33"/>
      <c r="K60" s="33"/>
      <c r="L60" s="33"/>
      <c r="M60" s="33"/>
    </row>
    <row r="61">
      <c r="I61" s="33"/>
      <c r="J61" s="33"/>
      <c r="K61" s="33"/>
      <c r="L61" s="33"/>
      <c r="M61" s="33"/>
    </row>
    <row r="62">
      <c r="I62" s="33"/>
      <c r="J62" s="33"/>
      <c r="K62" s="33"/>
      <c r="L62" s="33"/>
      <c r="M62" s="33"/>
    </row>
    <row r="63">
      <c r="I63" s="33"/>
      <c r="J63" s="33"/>
      <c r="K63" s="33"/>
      <c r="L63" s="33"/>
      <c r="M63" s="33"/>
    </row>
    <row r="64">
      <c r="I64" s="33"/>
      <c r="J64" s="33"/>
      <c r="K64" s="33"/>
      <c r="L64" s="33"/>
      <c r="M64" s="33"/>
    </row>
    <row r="65">
      <c r="I65" s="33"/>
      <c r="J65" s="33"/>
      <c r="K65" s="33"/>
      <c r="L65" s="33"/>
      <c r="M65" s="33"/>
    </row>
    <row r="66">
      <c r="I66" s="33"/>
      <c r="J66" s="33"/>
      <c r="K66" s="33"/>
      <c r="L66" s="33"/>
      <c r="M66" s="33"/>
    </row>
    <row r="67">
      <c r="I67" s="33"/>
      <c r="J67" s="33"/>
      <c r="K67" s="33"/>
      <c r="L67" s="33"/>
      <c r="M67" s="33"/>
    </row>
    <row r="68">
      <c r="I68" s="33"/>
      <c r="J68" s="33"/>
      <c r="K68" s="33"/>
      <c r="L68" s="33"/>
      <c r="M68" s="33"/>
    </row>
    <row r="69">
      <c r="A69" s="54"/>
      <c r="B69" s="33"/>
      <c r="C69" s="33"/>
      <c r="D69" s="33"/>
      <c r="E69" s="33"/>
      <c r="F69" s="33"/>
      <c r="G69" s="33"/>
      <c r="H69" s="46"/>
      <c r="I69" s="33"/>
      <c r="J69" s="33"/>
      <c r="K69" s="33"/>
      <c r="L69" s="33"/>
      <c r="M69" s="33"/>
    </row>
    <row r="70">
      <c r="A70" s="55"/>
      <c r="B70" s="33"/>
      <c r="C70" s="33"/>
      <c r="D70" s="33"/>
      <c r="E70" s="33"/>
      <c r="F70" s="33"/>
      <c r="G70" s="33"/>
      <c r="H70" s="46"/>
      <c r="I70" s="33"/>
      <c r="J70" s="33"/>
      <c r="K70" s="33"/>
      <c r="L70" s="33"/>
      <c r="M70" s="33"/>
    </row>
    <row r="71">
      <c r="A71" s="55"/>
      <c r="B71" s="33"/>
      <c r="C71" s="33"/>
      <c r="D71" s="33"/>
      <c r="E71" s="33"/>
      <c r="F71" s="33"/>
      <c r="G71" s="33"/>
      <c r="H71" s="46"/>
      <c r="I71" s="33"/>
      <c r="J71" s="33"/>
      <c r="K71" s="33"/>
      <c r="L71" s="33"/>
      <c r="M71" s="33"/>
    </row>
    <row r="72">
      <c r="A72" s="55"/>
      <c r="B72" s="33"/>
      <c r="C72" s="33"/>
      <c r="D72" s="33"/>
      <c r="E72" s="33"/>
      <c r="F72" s="33"/>
      <c r="G72" s="33"/>
      <c r="H72" s="46"/>
      <c r="I72" s="33"/>
      <c r="J72" s="33"/>
      <c r="K72" s="33"/>
      <c r="L72" s="33"/>
      <c r="M72" s="33"/>
    </row>
  </sheetData>
  <mergeCells count="10">
    <mergeCell ref="A28:A29"/>
    <mergeCell ref="A30:A31"/>
    <mergeCell ref="A32:A35"/>
    <mergeCell ref="A2:A4"/>
    <mergeCell ref="C4:F4"/>
    <mergeCell ref="A5:A6"/>
    <mergeCell ref="A7:A8"/>
    <mergeCell ref="A9:A12"/>
    <mergeCell ref="A25:A27"/>
    <mergeCell ref="C27:F27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2C4C9"/>
    <outlinePr summaryBelow="0" summaryRight="0"/>
  </sheetPr>
  <sheetViews>
    <sheetView workbookViewId="0"/>
  </sheetViews>
  <sheetFormatPr customHeight="1" defaultColWidth="11.22" defaultRowHeight="15.0"/>
  <cols>
    <col customWidth="1" min="1" max="3" width="12.33"/>
    <col customWidth="1" min="4" max="4" width="13.11"/>
    <col customWidth="1" min="5" max="6" width="12.33"/>
    <col customWidth="1" min="7" max="7" width="15.22"/>
    <col customWidth="1" min="8" max="8" width="14.78"/>
  </cols>
  <sheetData>
    <row r="1">
      <c r="A1" s="40" t="s">
        <v>190</v>
      </c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40" t="s">
        <v>191</v>
      </c>
      <c r="C3" s="40" t="s">
        <v>192</v>
      </c>
      <c r="D3" s="40" t="s">
        <v>193</v>
      </c>
      <c r="E3" s="40" t="s">
        <v>194</v>
      </c>
      <c r="F3" s="40" t="s">
        <v>195</v>
      </c>
      <c r="G3" s="40" t="s">
        <v>196</v>
      </c>
      <c r="H3" s="51" t="s">
        <v>197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198</v>
      </c>
      <c r="D4" s="43"/>
      <c r="E4" s="43"/>
      <c r="F4" s="43"/>
      <c r="G4" s="43"/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>
        <v>103.0</v>
      </c>
      <c r="C6" s="48"/>
      <c r="D6" s="53" t="s">
        <v>109</v>
      </c>
      <c r="E6" s="48"/>
      <c r="F6" s="48"/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 t="s">
        <v>199</v>
      </c>
      <c r="C8" s="53" t="s">
        <v>200</v>
      </c>
      <c r="D8" s="48"/>
      <c r="E8" s="48"/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40">
        <v>90.3</v>
      </c>
      <c r="D10" s="40">
        <v>98.0</v>
      </c>
      <c r="E10" s="40">
        <v>98.0</v>
      </c>
      <c r="F10" s="33"/>
      <c r="G10" s="33"/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40">
        <v>94.2</v>
      </c>
      <c r="D11" s="40">
        <v>84.21</v>
      </c>
      <c r="E11" s="40">
        <v>100.0</v>
      </c>
      <c r="F11" s="33"/>
      <c r="G11" s="33"/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48"/>
      <c r="D12" s="53">
        <v>96.0</v>
      </c>
      <c r="E12" s="92">
        <f>47/48</f>
        <v>0.9791666667</v>
      </c>
      <c r="F12" s="48"/>
      <c r="G12" s="48"/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6"/>
      <c r="B17" s="48"/>
      <c r="C17" s="48"/>
      <c r="D17" s="48"/>
      <c r="E17" s="48"/>
      <c r="F17" s="48"/>
      <c r="G17" s="48"/>
      <c r="H17" s="4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3"/>
      <c r="B107" s="33"/>
      <c r="C107" s="33"/>
      <c r="D107" s="33"/>
      <c r="E107" s="33"/>
      <c r="F107" s="33"/>
      <c r="G107" s="33"/>
      <c r="H107" s="33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3"/>
      <c r="B108" s="33"/>
      <c r="C108" s="33"/>
      <c r="D108" s="33"/>
      <c r="E108" s="33"/>
      <c r="F108" s="33"/>
      <c r="G108" s="33"/>
      <c r="H108" s="33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3"/>
      <c r="B109" s="33"/>
      <c r="C109" s="33"/>
      <c r="D109" s="33"/>
      <c r="E109" s="33"/>
      <c r="F109" s="33"/>
      <c r="G109" s="33"/>
      <c r="H109" s="33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3"/>
      <c r="B110" s="33"/>
      <c r="C110" s="33"/>
      <c r="D110" s="33"/>
      <c r="E110" s="33"/>
      <c r="F110" s="33"/>
      <c r="G110" s="33"/>
      <c r="H110" s="33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3"/>
      <c r="B111" s="33"/>
      <c r="C111" s="33"/>
      <c r="D111" s="33"/>
      <c r="E111" s="33"/>
      <c r="F111" s="33"/>
      <c r="G111" s="33"/>
      <c r="H111" s="33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3"/>
      <c r="B112" s="33"/>
      <c r="C112" s="33"/>
      <c r="D112" s="33"/>
      <c r="E112" s="33"/>
      <c r="F112" s="33"/>
      <c r="G112" s="33"/>
      <c r="H112" s="33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3"/>
      <c r="B113" s="33"/>
      <c r="C113" s="33"/>
      <c r="D113" s="33"/>
      <c r="E113" s="33"/>
      <c r="F113" s="33"/>
      <c r="G113" s="33"/>
      <c r="H113" s="33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3"/>
      <c r="B114" s="33"/>
      <c r="C114" s="33"/>
      <c r="D114" s="33"/>
      <c r="E114" s="33"/>
      <c r="F114" s="33"/>
      <c r="G114" s="33"/>
      <c r="H114" s="33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3"/>
      <c r="B115" s="33"/>
      <c r="C115" s="33"/>
      <c r="D115" s="33"/>
      <c r="E115" s="33"/>
      <c r="F115" s="33"/>
      <c r="G115" s="33"/>
      <c r="H115" s="33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3"/>
      <c r="B116" s="33"/>
      <c r="C116" s="33"/>
      <c r="D116" s="33"/>
      <c r="E116" s="33"/>
      <c r="F116" s="33"/>
      <c r="G116" s="33"/>
      <c r="H116" s="33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3"/>
      <c r="B117" s="33"/>
      <c r="C117" s="33"/>
      <c r="D117" s="33"/>
      <c r="E117" s="33"/>
      <c r="F117" s="33"/>
      <c r="G117" s="33"/>
      <c r="H117" s="33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3"/>
      <c r="B118" s="33"/>
      <c r="C118" s="33"/>
      <c r="D118" s="33"/>
      <c r="E118" s="33"/>
      <c r="F118" s="33"/>
      <c r="G118" s="33"/>
      <c r="H118" s="33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3"/>
      <c r="B119" s="33"/>
      <c r="C119" s="33"/>
      <c r="D119" s="33"/>
      <c r="E119" s="33"/>
      <c r="F119" s="33"/>
      <c r="G119" s="33"/>
      <c r="H119" s="33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3"/>
      <c r="B120" s="33"/>
      <c r="C120" s="33"/>
      <c r="D120" s="33"/>
      <c r="E120" s="33"/>
      <c r="F120" s="33"/>
      <c r="G120" s="33"/>
      <c r="H120" s="33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3"/>
      <c r="B121" s="33"/>
      <c r="C121" s="33"/>
      <c r="D121" s="33"/>
      <c r="E121" s="33"/>
      <c r="F121" s="33"/>
      <c r="G121" s="33"/>
      <c r="H121" s="33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3"/>
      <c r="B122" s="33"/>
      <c r="C122" s="33"/>
      <c r="D122" s="33"/>
      <c r="E122" s="33"/>
      <c r="F122" s="33"/>
      <c r="G122" s="33"/>
      <c r="H122" s="33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  <row r="1017">
      <c r="A1017" s="34"/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</row>
  </sheetData>
  <mergeCells count="5">
    <mergeCell ref="A2:A4"/>
    <mergeCell ref="A5:A6"/>
    <mergeCell ref="A7:A8"/>
    <mergeCell ref="A9:A12"/>
    <mergeCell ref="A13:B13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1.22" defaultRowHeight="15.0"/>
  <cols>
    <col customWidth="1" min="1" max="2" width="12.33"/>
    <col customWidth="1" min="3" max="3" width="14.89"/>
    <col customWidth="1" min="4" max="7" width="12.33"/>
    <col customWidth="1" min="8" max="8" width="14.78"/>
  </cols>
  <sheetData>
    <row r="1">
      <c r="A1" s="40" t="s">
        <v>201</v>
      </c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18" t="s">
        <v>202</v>
      </c>
      <c r="C3" s="40" t="s">
        <v>203</v>
      </c>
      <c r="D3" s="40" t="s">
        <v>204</v>
      </c>
      <c r="E3" s="40" t="s">
        <v>205</v>
      </c>
      <c r="F3" s="40" t="s">
        <v>206</v>
      </c>
      <c r="G3" s="40"/>
      <c r="H3" s="51" t="s">
        <v>207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208</v>
      </c>
      <c r="D4" s="73"/>
      <c r="E4" s="73"/>
      <c r="F4" s="43"/>
      <c r="G4" s="43"/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/>
      <c r="C6" s="53"/>
      <c r="D6" s="53">
        <v>108.0</v>
      </c>
      <c r="E6" s="48"/>
      <c r="F6" s="48"/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/>
      <c r="C8" s="53" t="s">
        <v>209</v>
      </c>
      <c r="D8" s="48"/>
      <c r="E8" s="48"/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40"/>
      <c r="D10" s="40"/>
      <c r="E10" s="40"/>
      <c r="F10" s="33"/>
      <c r="G10" s="33"/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40"/>
      <c r="D11" s="40"/>
      <c r="E11" s="40">
        <v>96.0</v>
      </c>
      <c r="F11" s="33"/>
      <c r="G11" s="33"/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53"/>
      <c r="D12" s="53"/>
      <c r="E12" s="53">
        <v>95.92</v>
      </c>
      <c r="F12" s="48"/>
      <c r="G12" s="48"/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4"/>
      <c r="B14" s="33"/>
      <c r="C14" s="33"/>
      <c r="D14" s="33"/>
      <c r="E14" s="33"/>
      <c r="F14" s="33"/>
      <c r="G14" s="33"/>
      <c r="H14" s="4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4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81"/>
      <c r="B16" s="48"/>
      <c r="C16" s="48"/>
      <c r="D16" s="48"/>
      <c r="E16" s="48"/>
      <c r="F16" s="48"/>
      <c r="G16" s="48"/>
      <c r="H16" s="4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0"/>
      <c r="B17" s="33"/>
      <c r="C17" s="33"/>
      <c r="D17" s="33"/>
      <c r="E17" s="33"/>
      <c r="F17" s="33"/>
      <c r="G17" s="33"/>
      <c r="H17" s="33"/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>
      <c r="A18" s="40"/>
      <c r="B18" s="33"/>
      <c r="C18" s="33"/>
      <c r="D18" s="33"/>
      <c r="E18" s="33"/>
      <c r="F18" s="33"/>
      <c r="G18" s="33"/>
      <c r="H18" s="3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>
      <c r="A19" s="40" t="s">
        <v>210</v>
      </c>
      <c r="B19" s="33"/>
      <c r="C19" s="33"/>
      <c r="D19" s="33"/>
      <c r="E19" s="33"/>
      <c r="F19" s="33"/>
      <c r="G19" s="33"/>
      <c r="H19" s="3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>
      <c r="A20" s="35" t="s">
        <v>1</v>
      </c>
      <c r="B20" s="36" t="s">
        <v>2</v>
      </c>
      <c r="C20" s="36" t="s">
        <v>3</v>
      </c>
      <c r="D20" s="36" t="s">
        <v>4</v>
      </c>
      <c r="E20" s="36" t="s">
        <v>5</v>
      </c>
      <c r="F20" s="36" t="s">
        <v>6</v>
      </c>
      <c r="G20" s="36" t="s">
        <v>7</v>
      </c>
      <c r="H20" s="37" t="s">
        <v>8</v>
      </c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>
      <c r="A21" s="6"/>
      <c r="B21" s="18" t="s">
        <v>211</v>
      </c>
      <c r="C21" s="40" t="s">
        <v>212</v>
      </c>
      <c r="D21" s="40" t="s">
        <v>213</v>
      </c>
      <c r="E21" s="40" t="s">
        <v>214</v>
      </c>
      <c r="F21" s="40" t="s">
        <v>215</v>
      </c>
      <c r="G21" s="40" t="s">
        <v>216</v>
      </c>
      <c r="H21" s="51" t="s">
        <v>217</v>
      </c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>
      <c r="A22" s="12"/>
      <c r="B22" s="41" t="s">
        <v>13</v>
      </c>
      <c r="C22" s="41" t="s">
        <v>218</v>
      </c>
      <c r="D22" s="73"/>
      <c r="E22" s="73"/>
      <c r="F22" s="43"/>
      <c r="G22" s="43"/>
      <c r="H22" s="44"/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>
      <c r="A23" s="45" t="s">
        <v>14</v>
      </c>
      <c r="B23" s="40" t="s">
        <v>15</v>
      </c>
      <c r="C23" s="40" t="s">
        <v>16</v>
      </c>
      <c r="D23" s="40" t="s">
        <v>17</v>
      </c>
      <c r="E23" s="40" t="s">
        <v>18</v>
      </c>
      <c r="F23" s="40" t="s">
        <v>19</v>
      </c>
      <c r="G23" s="40" t="s">
        <v>20</v>
      </c>
      <c r="H23" s="46"/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>
      <c r="A24" s="12"/>
      <c r="B24" s="47">
        <v>102.0</v>
      </c>
      <c r="C24" s="53">
        <v>105.0</v>
      </c>
      <c r="D24" s="53">
        <v>108.0</v>
      </c>
      <c r="E24" s="48"/>
      <c r="F24" s="48"/>
      <c r="G24" s="48"/>
      <c r="H24" s="49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>
      <c r="A25" s="45" t="s">
        <v>21</v>
      </c>
      <c r="B25" s="40" t="s">
        <v>22</v>
      </c>
      <c r="C25" s="40" t="s">
        <v>23</v>
      </c>
      <c r="D25" s="40" t="s">
        <v>24</v>
      </c>
      <c r="E25" s="40" t="s">
        <v>25</v>
      </c>
      <c r="F25" s="40" t="s">
        <v>26</v>
      </c>
      <c r="G25" s="40" t="s">
        <v>27</v>
      </c>
      <c r="H25" s="46"/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>
      <c r="A26" s="12"/>
      <c r="B26" s="53" t="s">
        <v>219</v>
      </c>
      <c r="C26" s="53" t="s">
        <v>220</v>
      </c>
      <c r="D26" s="48"/>
      <c r="E26" s="48"/>
      <c r="F26" s="48"/>
      <c r="G26" s="48"/>
      <c r="H26" s="49"/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>
      <c r="A27" s="45" t="s">
        <v>28</v>
      </c>
      <c r="B27" s="33"/>
      <c r="C27" s="40" t="s">
        <v>15</v>
      </c>
      <c r="D27" s="40" t="s">
        <v>16</v>
      </c>
      <c r="E27" s="40" t="s">
        <v>17</v>
      </c>
      <c r="F27" s="40" t="s">
        <v>18</v>
      </c>
      <c r="G27" s="40" t="s">
        <v>19</v>
      </c>
      <c r="H27" s="51" t="s">
        <v>20</v>
      </c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>
      <c r="A28" s="6"/>
      <c r="B28" s="40" t="s">
        <v>30</v>
      </c>
      <c r="C28" s="40">
        <v>86.5</v>
      </c>
      <c r="D28" s="40">
        <v>100.0</v>
      </c>
      <c r="E28" s="40">
        <v>95.9</v>
      </c>
      <c r="F28" s="33"/>
      <c r="G28" s="33"/>
      <c r="H28" s="46"/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>
      <c r="A29" s="6"/>
      <c r="B29" s="40" t="s">
        <v>31</v>
      </c>
      <c r="C29" s="40">
        <v>73.0</v>
      </c>
      <c r="D29" s="40">
        <v>84.0</v>
      </c>
      <c r="E29" s="40">
        <v>94.0</v>
      </c>
      <c r="F29" s="33"/>
      <c r="G29" s="33"/>
      <c r="H29" s="46"/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>
      <c r="A30" s="12"/>
      <c r="B30" s="53" t="s">
        <v>32</v>
      </c>
      <c r="C30" s="53">
        <v>100.0</v>
      </c>
      <c r="D30" s="53">
        <v>84.21</v>
      </c>
      <c r="E30" s="53">
        <v>97.96</v>
      </c>
      <c r="F30" s="48"/>
      <c r="G30" s="48"/>
      <c r="H30" s="49"/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>
      <c r="A31" s="54" t="s">
        <v>33</v>
      </c>
      <c r="C31" s="33"/>
      <c r="D31" s="33"/>
      <c r="E31" s="33"/>
      <c r="F31" s="33"/>
      <c r="G31" s="33"/>
      <c r="H31" s="46"/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>
      <c r="A32" s="55"/>
      <c r="B32" s="33"/>
      <c r="C32" s="33"/>
      <c r="D32" s="33"/>
      <c r="E32" s="33"/>
      <c r="F32" s="33"/>
      <c r="G32" s="33"/>
      <c r="H32" s="46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>
      <c r="A33" s="55"/>
      <c r="B33" s="33"/>
      <c r="C33" s="33"/>
      <c r="D33" s="33"/>
      <c r="E33" s="33"/>
      <c r="F33" s="33"/>
      <c r="G33" s="33"/>
      <c r="H33" s="46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6"/>
      <c r="B34" s="48"/>
      <c r="C34" s="48"/>
      <c r="D34" s="48"/>
      <c r="E34" s="48"/>
      <c r="F34" s="48"/>
      <c r="G34" s="48"/>
      <c r="H34" s="49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5"/>
      <c r="B35" s="33"/>
      <c r="C35" s="33"/>
      <c r="D35" s="33"/>
      <c r="E35" s="33"/>
      <c r="F35" s="33"/>
      <c r="G35" s="33"/>
      <c r="H35" s="33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55"/>
      <c r="B36" s="33"/>
      <c r="C36" s="33"/>
      <c r="D36" s="33"/>
      <c r="E36" s="33"/>
      <c r="F36" s="33"/>
      <c r="G36" s="33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40" t="s">
        <v>221</v>
      </c>
      <c r="B37" s="33"/>
      <c r="C37" s="33"/>
      <c r="D37" s="33"/>
      <c r="E37" s="33"/>
      <c r="F37" s="33"/>
      <c r="G37" s="33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5" t="s">
        <v>1</v>
      </c>
      <c r="B38" s="36" t="s">
        <v>2</v>
      </c>
      <c r="C38" s="36" t="s">
        <v>3</v>
      </c>
      <c r="D38" s="36" t="s">
        <v>4</v>
      </c>
      <c r="E38" s="36" t="s">
        <v>5</v>
      </c>
      <c r="F38" s="36" t="s">
        <v>6</v>
      </c>
      <c r="G38" s="36" t="s">
        <v>7</v>
      </c>
      <c r="H38" s="37" t="s">
        <v>8</v>
      </c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6"/>
      <c r="B39" s="40" t="s">
        <v>222</v>
      </c>
      <c r="C39" s="40" t="s">
        <v>142</v>
      </c>
      <c r="D39" s="33"/>
      <c r="E39" s="40" t="s">
        <v>143</v>
      </c>
      <c r="F39" s="40" t="s">
        <v>144</v>
      </c>
      <c r="G39" s="40" t="s">
        <v>223</v>
      </c>
      <c r="H39" s="51" t="s">
        <v>146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2"/>
      <c r="B40" s="41" t="s">
        <v>13</v>
      </c>
      <c r="C40" s="41" t="s">
        <v>147</v>
      </c>
      <c r="D40" s="73"/>
      <c r="E40" s="73"/>
      <c r="F40" s="73"/>
      <c r="G40" s="43"/>
      <c r="H40" s="4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5" t="s">
        <v>14</v>
      </c>
      <c r="B41" s="40" t="s">
        <v>15</v>
      </c>
      <c r="C41" s="40" t="s">
        <v>16</v>
      </c>
      <c r="D41" s="40" t="s">
        <v>17</v>
      </c>
      <c r="E41" s="40" t="s">
        <v>18</v>
      </c>
      <c r="F41" s="40" t="s">
        <v>19</v>
      </c>
      <c r="G41" s="40" t="s">
        <v>20</v>
      </c>
      <c r="H41" s="46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2"/>
      <c r="B42" s="47">
        <v>10606.0</v>
      </c>
      <c r="C42" s="48"/>
      <c r="D42" s="48"/>
      <c r="E42" s="48"/>
      <c r="F42" s="48"/>
      <c r="G42" s="48"/>
      <c r="H42" s="4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5" t="s">
        <v>21</v>
      </c>
      <c r="B43" s="40" t="s">
        <v>22</v>
      </c>
      <c r="C43" s="40" t="s">
        <v>23</v>
      </c>
      <c r="D43" s="40" t="s">
        <v>24</v>
      </c>
      <c r="E43" s="40" t="s">
        <v>25</v>
      </c>
      <c r="F43" s="40" t="s">
        <v>26</v>
      </c>
      <c r="G43" s="40" t="s">
        <v>27</v>
      </c>
      <c r="H43" s="4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2"/>
      <c r="B44" s="48"/>
      <c r="C44" s="48"/>
      <c r="D44" s="48"/>
      <c r="E44" s="48"/>
      <c r="F44" s="48"/>
      <c r="G44" s="48"/>
      <c r="H44" s="49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5" t="s">
        <v>28</v>
      </c>
      <c r="B45" s="33"/>
      <c r="C45" s="40" t="s">
        <v>15</v>
      </c>
      <c r="D45" s="40" t="s">
        <v>16</v>
      </c>
      <c r="E45" s="40" t="s">
        <v>17</v>
      </c>
      <c r="F45" s="40" t="s">
        <v>18</v>
      </c>
      <c r="G45" s="40" t="s">
        <v>19</v>
      </c>
      <c r="H45" s="51" t="s">
        <v>20</v>
      </c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6"/>
      <c r="B46" s="40" t="s">
        <v>30</v>
      </c>
      <c r="C46" s="52">
        <v>78.72</v>
      </c>
      <c r="D46" s="40">
        <v>81.06</v>
      </c>
      <c r="E46" s="33"/>
      <c r="F46" s="33"/>
      <c r="G46" s="33"/>
      <c r="H46" s="4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6"/>
      <c r="B47" s="40" t="s">
        <v>31</v>
      </c>
      <c r="C47" s="33"/>
      <c r="D47" s="33"/>
      <c r="E47" s="33"/>
      <c r="F47" s="33"/>
      <c r="G47" s="33"/>
      <c r="H47" s="46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12"/>
      <c r="B48" s="53" t="s">
        <v>32</v>
      </c>
      <c r="C48" s="48"/>
      <c r="D48" s="48"/>
      <c r="E48" s="48"/>
      <c r="F48" s="48"/>
      <c r="G48" s="48"/>
      <c r="H48" s="49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54" t="s">
        <v>33</v>
      </c>
      <c r="C49" s="33"/>
      <c r="D49" s="33"/>
      <c r="E49" s="33"/>
      <c r="F49" s="33"/>
      <c r="G49" s="33"/>
      <c r="H49" s="46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94"/>
      <c r="B50" s="86"/>
      <c r="C50" s="86"/>
      <c r="D50" s="86"/>
      <c r="E50" s="86"/>
      <c r="F50" s="86"/>
      <c r="G50" s="86"/>
      <c r="H50" s="95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94"/>
      <c r="B51" s="86"/>
      <c r="C51" s="86"/>
      <c r="D51" s="86"/>
      <c r="E51" s="86"/>
      <c r="F51" s="86"/>
      <c r="G51" s="86"/>
      <c r="H51" s="95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96"/>
      <c r="B52" s="97"/>
      <c r="C52" s="97"/>
      <c r="D52" s="97"/>
      <c r="E52" s="97"/>
      <c r="F52" s="97"/>
      <c r="G52" s="97"/>
      <c r="H52" s="98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94"/>
      <c r="B53" s="86"/>
      <c r="C53" s="86"/>
      <c r="D53" s="86"/>
      <c r="E53" s="86"/>
      <c r="F53" s="86"/>
      <c r="G53" s="86"/>
      <c r="H53" s="86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40"/>
      <c r="B54" s="33"/>
      <c r="C54" s="33"/>
      <c r="D54" s="33"/>
      <c r="E54" s="33"/>
      <c r="F54" s="33"/>
      <c r="G54" s="33"/>
      <c r="H54" s="33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40" t="s">
        <v>224</v>
      </c>
      <c r="B55" s="33"/>
      <c r="C55" s="33"/>
      <c r="D55" s="33"/>
      <c r="E55" s="33"/>
      <c r="F55" s="33"/>
      <c r="G55" s="33"/>
      <c r="H55" s="33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5" t="s">
        <v>1</v>
      </c>
      <c r="B56" s="36" t="s">
        <v>2</v>
      </c>
      <c r="C56" s="36" t="s">
        <v>3</v>
      </c>
      <c r="D56" s="36" t="s">
        <v>4</v>
      </c>
      <c r="E56" s="36" t="s">
        <v>5</v>
      </c>
      <c r="F56" s="36" t="s">
        <v>6</v>
      </c>
      <c r="G56" s="36" t="s">
        <v>7</v>
      </c>
      <c r="H56" s="37" t="s">
        <v>8</v>
      </c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6"/>
      <c r="B57" s="40" t="s">
        <v>225</v>
      </c>
      <c r="C57" s="40" t="s">
        <v>226</v>
      </c>
      <c r="D57" s="40" t="s">
        <v>227</v>
      </c>
      <c r="E57" s="40" t="s">
        <v>228</v>
      </c>
      <c r="F57" s="40" t="s">
        <v>229</v>
      </c>
      <c r="G57" s="40" t="s">
        <v>230</v>
      </c>
      <c r="H57" s="51" t="s">
        <v>231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12"/>
      <c r="B58" s="41" t="s">
        <v>13</v>
      </c>
      <c r="C58" s="41" t="s">
        <v>232</v>
      </c>
      <c r="D58" s="43"/>
      <c r="E58" s="43"/>
      <c r="F58" s="43"/>
      <c r="G58" s="43"/>
      <c r="H58" s="4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45" t="s">
        <v>14</v>
      </c>
      <c r="B59" s="40" t="s">
        <v>15</v>
      </c>
      <c r="C59" s="40" t="s">
        <v>16</v>
      </c>
      <c r="D59" s="40" t="s">
        <v>17</v>
      </c>
      <c r="E59" s="40" t="s">
        <v>18</v>
      </c>
      <c r="F59" s="40" t="s">
        <v>19</v>
      </c>
      <c r="G59" s="40" t="s">
        <v>20</v>
      </c>
      <c r="H59" s="46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2"/>
      <c r="B60" s="47">
        <v>102.0</v>
      </c>
      <c r="C60" s="53">
        <v>105.0</v>
      </c>
      <c r="D60" s="53">
        <v>108.0</v>
      </c>
      <c r="E60" s="48"/>
      <c r="F60" s="48"/>
      <c r="G60" s="48"/>
      <c r="H60" s="49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45" t="s">
        <v>21</v>
      </c>
      <c r="B61" s="40" t="s">
        <v>22</v>
      </c>
      <c r="C61" s="40" t="s">
        <v>23</v>
      </c>
      <c r="D61" s="40" t="s">
        <v>24</v>
      </c>
      <c r="E61" s="40" t="s">
        <v>25</v>
      </c>
      <c r="F61" s="40" t="s">
        <v>26</v>
      </c>
      <c r="G61" s="40" t="s">
        <v>27</v>
      </c>
      <c r="H61" s="46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2"/>
      <c r="B62" s="48"/>
      <c r="C62" s="53" t="s">
        <v>233</v>
      </c>
      <c r="D62" s="48"/>
      <c r="E62" s="48"/>
      <c r="F62" s="48"/>
      <c r="G62" s="48"/>
      <c r="H62" s="49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5" t="s">
        <v>28</v>
      </c>
      <c r="B63" s="33"/>
      <c r="C63" s="40" t="s">
        <v>15</v>
      </c>
      <c r="D63" s="40" t="s">
        <v>16</v>
      </c>
      <c r="E63" s="40" t="s">
        <v>17</v>
      </c>
      <c r="F63" s="40" t="s">
        <v>18</v>
      </c>
      <c r="G63" s="40" t="s">
        <v>19</v>
      </c>
      <c r="H63" s="51" t="s">
        <v>20</v>
      </c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6"/>
      <c r="B64" s="40" t="s">
        <v>30</v>
      </c>
      <c r="C64" s="40">
        <v>86.5</v>
      </c>
      <c r="D64" s="40">
        <v>91.58</v>
      </c>
      <c r="E64" s="40">
        <v>98.0</v>
      </c>
      <c r="F64" s="33"/>
      <c r="G64" s="33"/>
      <c r="H64" s="46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6"/>
      <c r="B65" s="40" t="s">
        <v>31</v>
      </c>
      <c r="C65" s="40">
        <v>94.2</v>
      </c>
      <c r="D65" s="40">
        <v>96.0</v>
      </c>
      <c r="E65" s="40">
        <v>98.0</v>
      </c>
      <c r="F65" s="33"/>
      <c r="G65" s="33"/>
      <c r="H65" s="46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2"/>
      <c r="B66" s="53" t="s">
        <v>32</v>
      </c>
      <c r="C66" s="53">
        <v>94.2</v>
      </c>
      <c r="D66" s="53">
        <v>100.0</v>
      </c>
      <c r="E66" s="53">
        <v>89.8</v>
      </c>
      <c r="F66" s="48"/>
      <c r="G66" s="48"/>
      <c r="H66" s="49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54" t="s">
        <v>33</v>
      </c>
      <c r="C67" s="33"/>
      <c r="D67" s="33"/>
      <c r="E67" s="33"/>
      <c r="F67" s="33"/>
      <c r="G67" s="33"/>
      <c r="H67" s="46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55"/>
      <c r="B68" s="33"/>
      <c r="C68" s="33"/>
      <c r="D68" s="33"/>
      <c r="E68" s="33"/>
      <c r="F68" s="33"/>
      <c r="G68" s="33"/>
      <c r="H68" s="46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55"/>
      <c r="B69" s="33"/>
      <c r="C69" s="33"/>
      <c r="D69" s="33"/>
      <c r="E69" s="33"/>
      <c r="F69" s="33"/>
      <c r="G69" s="33"/>
      <c r="H69" s="46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56"/>
      <c r="B70" s="48"/>
      <c r="C70" s="48"/>
      <c r="D70" s="48"/>
      <c r="E70" s="48"/>
      <c r="F70" s="48"/>
      <c r="G70" s="48"/>
      <c r="H70" s="49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99" t="s">
        <v>234</v>
      </c>
      <c r="B73" s="43"/>
      <c r="C73" s="43"/>
      <c r="D73" s="43"/>
      <c r="E73" s="43"/>
      <c r="F73" s="43"/>
      <c r="G73" s="43"/>
      <c r="H73" s="4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5" t="s">
        <v>1</v>
      </c>
      <c r="B74" s="40" t="s">
        <v>2</v>
      </c>
      <c r="C74" s="40" t="s">
        <v>3</v>
      </c>
      <c r="D74" s="40" t="s">
        <v>4</v>
      </c>
      <c r="E74" s="40" t="s">
        <v>5</v>
      </c>
      <c r="F74" s="40" t="s">
        <v>6</v>
      </c>
      <c r="G74" s="40" t="s">
        <v>7</v>
      </c>
      <c r="H74" s="51" t="s">
        <v>8</v>
      </c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6"/>
      <c r="B75" s="40" t="s">
        <v>235</v>
      </c>
      <c r="C75" s="40" t="s">
        <v>236</v>
      </c>
      <c r="D75" s="40" t="s">
        <v>237</v>
      </c>
      <c r="E75" s="40" t="s">
        <v>131</v>
      </c>
      <c r="F75" s="40" t="s">
        <v>132</v>
      </c>
      <c r="G75" s="40" t="s">
        <v>238</v>
      </c>
      <c r="H75" s="51" t="s">
        <v>239</v>
      </c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2"/>
      <c r="B76" s="41" t="s">
        <v>13</v>
      </c>
      <c r="C76" s="41" t="s">
        <v>135</v>
      </c>
      <c r="D76" s="73"/>
      <c r="E76" s="73"/>
      <c r="F76" s="43"/>
      <c r="G76" s="43"/>
      <c r="H76" s="4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45" t="s">
        <v>14</v>
      </c>
      <c r="B77" s="40" t="s">
        <v>15</v>
      </c>
      <c r="C77" s="40" t="s">
        <v>16</v>
      </c>
      <c r="D77" s="40" t="s">
        <v>17</v>
      </c>
      <c r="E77" s="40" t="s">
        <v>18</v>
      </c>
      <c r="F77" s="40" t="s">
        <v>19</v>
      </c>
      <c r="G77" s="40" t="s">
        <v>20</v>
      </c>
      <c r="H77" s="46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2"/>
      <c r="B78" s="47">
        <v>102.0</v>
      </c>
      <c r="C78" s="53">
        <v>105.0</v>
      </c>
      <c r="D78" s="53">
        <v>108.0</v>
      </c>
      <c r="E78" s="48"/>
      <c r="F78" s="48"/>
      <c r="G78" s="48"/>
      <c r="H78" s="49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5" t="s">
        <v>21</v>
      </c>
      <c r="B79" s="40" t="s">
        <v>22</v>
      </c>
      <c r="C79" s="40" t="s">
        <v>23</v>
      </c>
      <c r="D79" s="40" t="s">
        <v>24</v>
      </c>
      <c r="E79" s="40" t="s">
        <v>25</v>
      </c>
      <c r="F79" s="40" t="s">
        <v>26</v>
      </c>
      <c r="G79" s="40" t="s">
        <v>27</v>
      </c>
      <c r="H79" s="46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2"/>
      <c r="B80" s="53" t="s">
        <v>240</v>
      </c>
      <c r="C80" s="53" t="s">
        <v>241</v>
      </c>
      <c r="D80" s="48"/>
      <c r="E80" s="48"/>
      <c r="F80" s="48"/>
      <c r="G80" s="48"/>
      <c r="H80" s="49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5" t="s">
        <v>28</v>
      </c>
      <c r="B81" s="33"/>
      <c r="C81" s="40" t="s">
        <v>15</v>
      </c>
      <c r="D81" s="40" t="s">
        <v>16</v>
      </c>
      <c r="E81" s="40" t="s">
        <v>17</v>
      </c>
      <c r="F81" s="40" t="s">
        <v>18</v>
      </c>
      <c r="G81" s="40" t="s">
        <v>19</v>
      </c>
      <c r="H81" s="51" t="s">
        <v>20</v>
      </c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6"/>
      <c r="B82" s="40" t="s">
        <v>30</v>
      </c>
      <c r="C82" s="52">
        <v>82.6</v>
      </c>
      <c r="D82" s="40">
        <v>91.58</v>
      </c>
      <c r="E82" s="40">
        <v>87.8</v>
      </c>
      <c r="F82" s="33"/>
      <c r="G82" s="33"/>
      <c r="H82" s="4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6"/>
      <c r="B83" s="40" t="s">
        <v>31</v>
      </c>
      <c r="C83" s="52">
        <v>90.3</v>
      </c>
      <c r="D83" s="40">
        <v>88.0</v>
      </c>
      <c r="E83" s="40">
        <v>94.0</v>
      </c>
      <c r="F83" s="33"/>
      <c r="G83" s="33"/>
      <c r="H83" s="46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2"/>
      <c r="B84" s="53" t="s">
        <v>32</v>
      </c>
      <c r="C84" s="53">
        <v>94.2</v>
      </c>
      <c r="D84" s="53">
        <v>100.0</v>
      </c>
      <c r="E84" s="53">
        <v>83.67</v>
      </c>
      <c r="F84" s="48"/>
      <c r="G84" s="48"/>
      <c r="H84" s="49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4" t="s">
        <v>33</v>
      </c>
      <c r="B85" s="33"/>
      <c r="C85" s="33"/>
      <c r="D85" s="33"/>
      <c r="E85" s="33"/>
      <c r="F85" s="33"/>
      <c r="G85" s="33"/>
      <c r="H85" s="46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55"/>
      <c r="B86" s="33"/>
      <c r="C86" s="33"/>
      <c r="D86" s="33"/>
      <c r="E86" s="33"/>
      <c r="F86" s="33"/>
      <c r="G86" s="33"/>
      <c r="H86" s="46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55"/>
      <c r="B87" s="33"/>
      <c r="C87" s="33"/>
      <c r="D87" s="33"/>
      <c r="E87" s="33"/>
      <c r="F87" s="33"/>
      <c r="G87" s="33"/>
      <c r="H87" s="46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56"/>
      <c r="B88" s="48"/>
      <c r="C88" s="48"/>
      <c r="D88" s="48"/>
      <c r="E88" s="48"/>
      <c r="F88" s="48"/>
      <c r="G88" s="48"/>
      <c r="H88" s="49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  <row r="1002">
      <c r="A1002" s="34"/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</row>
    <row r="1003">
      <c r="A1003" s="34"/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</row>
    <row r="1004">
      <c r="A1004" s="34"/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</row>
    <row r="1005">
      <c r="A1005" s="34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</row>
    <row r="1006">
      <c r="A1006" s="34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</row>
    <row r="1007">
      <c r="A1007" s="34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</row>
    <row r="1008">
      <c r="A1008" s="34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</row>
    <row r="1009">
      <c r="A1009" s="34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</row>
    <row r="1010">
      <c r="A1010" s="34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</row>
    <row r="1011">
      <c r="A1011" s="34"/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</row>
    <row r="1012">
      <c r="A1012" s="34"/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</row>
    <row r="1013">
      <c r="A1013" s="34"/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</row>
    <row r="1014">
      <c r="A1014" s="34"/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</row>
    <row r="1015">
      <c r="A1015" s="34"/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</row>
    <row r="1016">
      <c r="A1016" s="34"/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</row>
  </sheetData>
  <mergeCells count="28">
    <mergeCell ref="A2:A4"/>
    <mergeCell ref="C4:E4"/>
    <mergeCell ref="A5:A6"/>
    <mergeCell ref="A7:A8"/>
    <mergeCell ref="A9:A12"/>
    <mergeCell ref="A13:B13"/>
    <mergeCell ref="C22:E22"/>
    <mergeCell ref="A20:A22"/>
    <mergeCell ref="A23:A24"/>
    <mergeCell ref="A25:A26"/>
    <mergeCell ref="A27:A30"/>
    <mergeCell ref="A31:B31"/>
    <mergeCell ref="A38:A40"/>
    <mergeCell ref="C40:F40"/>
    <mergeCell ref="A63:A66"/>
    <mergeCell ref="A67:B67"/>
    <mergeCell ref="A74:A76"/>
    <mergeCell ref="C76:E76"/>
    <mergeCell ref="A77:A78"/>
    <mergeCell ref="A79:A80"/>
    <mergeCell ref="A81:A84"/>
    <mergeCell ref="A41:A42"/>
    <mergeCell ref="A43:A44"/>
    <mergeCell ref="A45:A48"/>
    <mergeCell ref="A49:B49"/>
    <mergeCell ref="A56:A58"/>
    <mergeCell ref="A59:A60"/>
    <mergeCell ref="A61:A6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19.0"/>
  </cols>
  <sheetData>
    <row r="1">
      <c r="A1" s="40" t="s">
        <v>242</v>
      </c>
      <c r="B1" s="33"/>
      <c r="C1" s="33"/>
      <c r="D1" s="33"/>
      <c r="E1" s="33"/>
      <c r="F1" s="33"/>
      <c r="G1" s="33"/>
      <c r="H1" s="33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40" t="s">
        <v>243</v>
      </c>
      <c r="C3" s="40" t="s">
        <v>244</v>
      </c>
      <c r="D3" s="40" t="s">
        <v>245</v>
      </c>
      <c r="E3" s="40" t="s">
        <v>120</v>
      </c>
      <c r="F3" s="40" t="s">
        <v>121</v>
      </c>
      <c r="G3" s="100" t="s">
        <v>246</v>
      </c>
      <c r="H3" s="51" t="s">
        <v>247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123</v>
      </c>
      <c r="D4" s="73"/>
      <c r="E4" s="73"/>
      <c r="F4" s="73"/>
      <c r="G4" s="43"/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/>
      <c r="C6" s="53"/>
      <c r="D6" s="53">
        <v>108.0</v>
      </c>
      <c r="E6" s="53">
        <v>110.0</v>
      </c>
      <c r="F6" s="48"/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/>
      <c r="C8" s="53" t="s">
        <v>248</v>
      </c>
      <c r="D8" s="53" t="s">
        <v>248</v>
      </c>
      <c r="E8" s="48"/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52"/>
      <c r="D10" s="40"/>
      <c r="E10" s="101"/>
      <c r="F10" s="40">
        <v>92.0</v>
      </c>
      <c r="G10" s="33"/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40"/>
      <c r="D11" s="33"/>
      <c r="E11" s="40"/>
      <c r="F11" s="33"/>
      <c r="G11" s="33"/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53"/>
      <c r="D12" s="48"/>
      <c r="E12" s="53">
        <v>98.0</v>
      </c>
      <c r="F12" s="48"/>
      <c r="G12" s="48"/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B13" s="33"/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6"/>
      <c r="B16" s="48"/>
      <c r="C16" s="48"/>
      <c r="D16" s="48"/>
      <c r="E16" s="48"/>
      <c r="F16" s="48"/>
      <c r="G16" s="48"/>
      <c r="H16" s="49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102" t="s">
        <v>249</v>
      </c>
      <c r="B17" s="103"/>
      <c r="C17" s="103"/>
      <c r="D17" s="103"/>
      <c r="E17" s="103"/>
      <c r="F17" s="103"/>
      <c r="G17" s="103"/>
      <c r="H17" s="103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104" t="s">
        <v>1</v>
      </c>
      <c r="B18" s="105" t="s">
        <v>2</v>
      </c>
      <c r="C18" s="105" t="s">
        <v>3</v>
      </c>
      <c r="D18" s="105" t="s">
        <v>4</v>
      </c>
      <c r="E18" s="105" t="s">
        <v>5</v>
      </c>
      <c r="F18" s="105" t="s">
        <v>6</v>
      </c>
      <c r="G18" s="105" t="s">
        <v>7</v>
      </c>
      <c r="H18" s="106" t="s">
        <v>8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6"/>
      <c r="B19" s="102" t="s">
        <v>250</v>
      </c>
      <c r="C19" s="107" t="s">
        <v>251</v>
      </c>
      <c r="D19" s="102" t="s">
        <v>252</v>
      </c>
      <c r="E19" s="102" t="s">
        <v>112</v>
      </c>
      <c r="F19" s="102" t="s">
        <v>113</v>
      </c>
      <c r="G19" s="102" t="s">
        <v>253</v>
      </c>
      <c r="H19" s="108" t="s">
        <v>254</v>
      </c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12"/>
      <c r="B20" s="102" t="s">
        <v>13</v>
      </c>
      <c r="C20" s="102" t="s">
        <v>255</v>
      </c>
      <c r="D20" s="109"/>
      <c r="E20" s="109"/>
      <c r="F20" s="109"/>
      <c r="G20" s="103"/>
      <c r="H20" s="110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104" t="s">
        <v>14</v>
      </c>
      <c r="B21" s="111" t="s">
        <v>15</v>
      </c>
      <c r="C21" s="105" t="s">
        <v>16</v>
      </c>
      <c r="D21" s="105" t="s">
        <v>17</v>
      </c>
      <c r="E21" s="105" t="s">
        <v>18</v>
      </c>
      <c r="F21" s="105" t="s">
        <v>19</v>
      </c>
      <c r="G21" s="105" t="s">
        <v>20</v>
      </c>
      <c r="H21" s="112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2"/>
      <c r="B22" s="113">
        <v>101.0</v>
      </c>
      <c r="C22" s="113">
        <v>104.0</v>
      </c>
      <c r="D22" s="113">
        <v>107.0</v>
      </c>
      <c r="E22" s="114">
        <v>110.0</v>
      </c>
      <c r="F22" s="103"/>
      <c r="G22" s="103"/>
      <c r="H22" s="110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04" t="s">
        <v>21</v>
      </c>
      <c r="B23" s="111" t="s">
        <v>22</v>
      </c>
      <c r="C23" s="105" t="s">
        <v>23</v>
      </c>
      <c r="D23" s="105" t="s">
        <v>24</v>
      </c>
      <c r="E23" s="105" t="s">
        <v>25</v>
      </c>
      <c r="F23" s="105" t="s">
        <v>26</v>
      </c>
      <c r="G23" s="105" t="s">
        <v>27</v>
      </c>
      <c r="H23" s="112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2"/>
      <c r="B24" s="102" t="s">
        <v>256</v>
      </c>
      <c r="C24" s="102" t="s">
        <v>117</v>
      </c>
      <c r="D24" s="103"/>
      <c r="E24" s="103"/>
      <c r="F24" s="103"/>
      <c r="G24" s="103"/>
      <c r="H24" s="110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04" t="s">
        <v>28</v>
      </c>
      <c r="B25" s="93"/>
      <c r="C25" s="111" t="s">
        <v>15</v>
      </c>
      <c r="D25" s="105" t="s">
        <v>16</v>
      </c>
      <c r="E25" s="105" t="s">
        <v>17</v>
      </c>
      <c r="F25" s="105" t="s">
        <v>18</v>
      </c>
      <c r="G25" s="105" t="s">
        <v>19</v>
      </c>
      <c r="H25" s="106" t="s">
        <v>20</v>
      </c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6"/>
      <c r="B26" s="105" t="s">
        <v>30</v>
      </c>
      <c r="C26" s="115">
        <v>78.72</v>
      </c>
      <c r="D26" s="115">
        <v>95.91</v>
      </c>
      <c r="E26" s="116">
        <v>98.0</v>
      </c>
      <c r="F26" s="117">
        <v>100.0</v>
      </c>
      <c r="G26" s="93"/>
      <c r="H26" s="112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6"/>
      <c r="B27" s="105" t="s">
        <v>31</v>
      </c>
      <c r="C27" s="115">
        <v>88.4</v>
      </c>
      <c r="D27" s="93"/>
      <c r="E27" s="115">
        <v>95.9</v>
      </c>
      <c r="F27" s="93"/>
      <c r="G27" s="93"/>
      <c r="H27" s="112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12"/>
      <c r="B28" s="102" t="s">
        <v>32</v>
      </c>
      <c r="C28" s="113">
        <v>90.3</v>
      </c>
      <c r="D28" s="103"/>
      <c r="E28" s="114">
        <v>96.0</v>
      </c>
      <c r="F28" s="103"/>
      <c r="G28" s="103"/>
      <c r="H28" s="110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18" t="s">
        <v>33</v>
      </c>
      <c r="B29" s="93"/>
      <c r="C29" s="93"/>
      <c r="D29" s="93"/>
      <c r="E29" s="93"/>
      <c r="F29" s="93"/>
      <c r="G29" s="93"/>
      <c r="H29" s="112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119"/>
      <c r="B30" s="93"/>
      <c r="C30" s="93"/>
      <c r="D30" s="93"/>
      <c r="E30" s="93"/>
      <c r="F30" s="93"/>
      <c r="G30" s="93"/>
      <c r="H30" s="112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119"/>
      <c r="B31" s="93"/>
      <c r="C31" s="93"/>
      <c r="D31" s="93"/>
      <c r="E31" s="93"/>
      <c r="F31" s="93"/>
      <c r="G31" s="93"/>
      <c r="H31" s="112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20"/>
      <c r="B32" s="103"/>
      <c r="C32" s="103"/>
      <c r="D32" s="103"/>
      <c r="E32" s="103"/>
      <c r="F32" s="103"/>
      <c r="G32" s="103"/>
      <c r="H32" s="110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33"/>
      <c r="B33" s="33"/>
      <c r="C33" s="33"/>
      <c r="D33" s="33"/>
      <c r="E33" s="33"/>
      <c r="F33" s="33"/>
      <c r="G33" s="33"/>
      <c r="H33" s="33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40" t="s">
        <v>257</v>
      </c>
      <c r="B34" s="33"/>
      <c r="C34" s="33"/>
      <c r="D34" s="33"/>
      <c r="E34" s="33"/>
      <c r="F34" s="33"/>
      <c r="G34" s="33"/>
      <c r="H34" s="33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35" t="s">
        <v>1</v>
      </c>
      <c r="B35" s="36" t="s">
        <v>2</v>
      </c>
      <c r="C35" s="36" t="s">
        <v>3</v>
      </c>
      <c r="D35" s="36" t="s">
        <v>4</v>
      </c>
      <c r="E35" s="36" t="s">
        <v>5</v>
      </c>
      <c r="F35" s="36" t="s">
        <v>6</v>
      </c>
      <c r="G35" s="36" t="s">
        <v>7</v>
      </c>
      <c r="H35" s="37" t="s">
        <v>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6"/>
      <c r="B36" s="52" t="s">
        <v>258</v>
      </c>
      <c r="C36" s="40" t="s">
        <v>259</v>
      </c>
      <c r="D36" s="40" t="s">
        <v>260</v>
      </c>
      <c r="E36" s="40" t="s">
        <v>261</v>
      </c>
      <c r="F36" s="40" t="s">
        <v>262</v>
      </c>
      <c r="G36" s="40" t="s">
        <v>263</v>
      </c>
      <c r="H36" s="51" t="s">
        <v>264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12"/>
      <c r="B37" s="41" t="s">
        <v>13</v>
      </c>
      <c r="C37" s="41" t="s">
        <v>265</v>
      </c>
      <c r="D37" s="73"/>
      <c r="E37" s="73"/>
      <c r="F37" s="43"/>
      <c r="G37" s="43"/>
      <c r="H37" s="4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5" t="s">
        <v>14</v>
      </c>
      <c r="B38" s="40" t="s">
        <v>15</v>
      </c>
      <c r="C38" s="40" t="s">
        <v>16</v>
      </c>
      <c r="D38" s="40" t="s">
        <v>17</v>
      </c>
      <c r="E38" s="40" t="s">
        <v>18</v>
      </c>
      <c r="F38" s="40" t="s">
        <v>19</v>
      </c>
      <c r="G38" s="40" t="s">
        <v>20</v>
      </c>
      <c r="H38" s="46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12"/>
      <c r="B39" s="47">
        <v>101.0</v>
      </c>
      <c r="C39" s="53">
        <v>104.0</v>
      </c>
      <c r="D39" s="53">
        <v>107.0</v>
      </c>
      <c r="E39" s="53">
        <v>110.0</v>
      </c>
      <c r="F39" s="48"/>
      <c r="G39" s="48"/>
      <c r="H39" s="49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45" t="s">
        <v>21</v>
      </c>
      <c r="B40" s="40" t="s">
        <v>22</v>
      </c>
      <c r="C40" s="40" t="s">
        <v>23</v>
      </c>
      <c r="D40" s="40" t="s">
        <v>24</v>
      </c>
      <c r="E40" s="40" t="s">
        <v>25</v>
      </c>
      <c r="F40" s="40" t="s">
        <v>26</v>
      </c>
      <c r="G40" s="40" t="s">
        <v>27</v>
      </c>
      <c r="H40" s="46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12"/>
      <c r="B41" s="53" t="s">
        <v>266</v>
      </c>
      <c r="C41" s="53" t="s">
        <v>100</v>
      </c>
      <c r="D41" s="53" t="s">
        <v>267</v>
      </c>
      <c r="E41" s="48"/>
      <c r="F41" s="48"/>
      <c r="G41" s="48"/>
      <c r="H41" s="49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45" t="s">
        <v>28</v>
      </c>
      <c r="B42" s="33"/>
      <c r="C42" s="40" t="s">
        <v>15</v>
      </c>
      <c r="D42" s="40" t="s">
        <v>16</v>
      </c>
      <c r="E42" s="40" t="s">
        <v>17</v>
      </c>
      <c r="F42" s="40" t="s">
        <v>18</v>
      </c>
      <c r="G42" s="40" t="s">
        <v>19</v>
      </c>
      <c r="H42" s="51" t="s">
        <v>20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6"/>
      <c r="B43" s="40" t="s">
        <v>30</v>
      </c>
      <c r="C43" s="52">
        <v>87.23</v>
      </c>
      <c r="D43" s="40">
        <v>97.91</v>
      </c>
      <c r="E43" s="40">
        <v>100.0</v>
      </c>
      <c r="F43" s="40">
        <v>98.0</v>
      </c>
      <c r="G43" s="33"/>
      <c r="H43" s="4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6"/>
      <c r="B44" s="40" t="s">
        <v>31</v>
      </c>
      <c r="C44" s="40">
        <v>88.4</v>
      </c>
      <c r="D44" s="33"/>
      <c r="E44" s="40">
        <v>95.9</v>
      </c>
      <c r="F44" s="33"/>
      <c r="G44" s="33"/>
      <c r="H44" s="46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12"/>
      <c r="B45" s="53" t="s">
        <v>32</v>
      </c>
      <c r="C45" s="53">
        <v>90.3</v>
      </c>
      <c r="D45" s="48"/>
      <c r="E45" s="53">
        <v>96.0</v>
      </c>
      <c r="F45" s="48"/>
      <c r="G45" s="48"/>
      <c r="H45" s="49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54" t="s">
        <v>33</v>
      </c>
      <c r="B46" s="33"/>
      <c r="C46" s="33"/>
      <c r="D46" s="33"/>
      <c r="E46" s="33"/>
      <c r="F46" s="33"/>
      <c r="G46" s="33"/>
      <c r="H46" s="4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55"/>
      <c r="B47" s="33"/>
      <c r="C47" s="33"/>
      <c r="D47" s="33"/>
      <c r="E47" s="33"/>
      <c r="F47" s="33"/>
      <c r="G47" s="33"/>
      <c r="H47" s="46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55"/>
      <c r="B48" s="33"/>
      <c r="C48" s="33"/>
      <c r="D48" s="33"/>
      <c r="E48" s="33"/>
      <c r="F48" s="33"/>
      <c r="G48" s="33"/>
      <c r="H48" s="46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56"/>
      <c r="B49" s="48"/>
      <c r="C49" s="48"/>
      <c r="D49" s="48"/>
      <c r="E49" s="48"/>
      <c r="F49" s="48"/>
      <c r="G49" s="48"/>
      <c r="H49" s="49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33"/>
      <c r="B50" s="33"/>
      <c r="C50" s="33"/>
      <c r="D50" s="33"/>
      <c r="E50" s="33"/>
      <c r="F50" s="33"/>
      <c r="G50" s="33"/>
      <c r="H50" s="33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3"/>
      <c r="B51" s="33"/>
      <c r="C51" s="33"/>
      <c r="D51" s="33"/>
      <c r="E51" s="33"/>
      <c r="F51" s="33"/>
      <c r="G51" s="33"/>
      <c r="H51" s="33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0" t="s">
        <v>268</v>
      </c>
      <c r="B52" s="33"/>
      <c r="C52" s="33"/>
      <c r="D52" s="33"/>
      <c r="E52" s="33"/>
      <c r="F52" s="33"/>
      <c r="G52" s="33"/>
      <c r="H52" s="33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5" t="s">
        <v>1</v>
      </c>
      <c r="B53" s="36" t="s">
        <v>2</v>
      </c>
      <c r="C53" s="36" t="s">
        <v>3</v>
      </c>
      <c r="D53" s="36" t="s">
        <v>4</v>
      </c>
      <c r="E53" s="36" t="s">
        <v>5</v>
      </c>
      <c r="F53" s="36" t="s">
        <v>6</v>
      </c>
      <c r="G53" s="36" t="s">
        <v>7</v>
      </c>
      <c r="H53" s="37" t="s">
        <v>8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6"/>
      <c r="B54" s="40" t="s">
        <v>269</v>
      </c>
      <c r="C54" s="40" t="s">
        <v>270</v>
      </c>
      <c r="D54" s="40" t="s">
        <v>271</v>
      </c>
      <c r="E54" s="40" t="s">
        <v>194</v>
      </c>
      <c r="F54" s="40" t="s">
        <v>195</v>
      </c>
      <c r="G54" s="71" t="s">
        <v>272</v>
      </c>
      <c r="H54" s="51" t="s">
        <v>273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12"/>
      <c r="B55" s="41" t="s">
        <v>13</v>
      </c>
      <c r="C55" s="41" t="s">
        <v>198</v>
      </c>
      <c r="D55" s="73"/>
      <c r="E55" s="73"/>
      <c r="F55" s="73"/>
      <c r="G55" s="43"/>
      <c r="H55" s="4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45" t="s">
        <v>14</v>
      </c>
      <c r="B56" s="40" t="s">
        <v>15</v>
      </c>
      <c r="C56" s="40" t="s">
        <v>16</v>
      </c>
      <c r="D56" s="40" t="s">
        <v>17</v>
      </c>
      <c r="E56" s="40" t="s">
        <v>18</v>
      </c>
      <c r="F56" s="40" t="s">
        <v>19</v>
      </c>
      <c r="G56" s="40" t="s">
        <v>20</v>
      </c>
      <c r="H56" s="46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ht="29.25" customHeight="1">
      <c r="A57" s="12"/>
      <c r="B57" s="47">
        <v>101.0</v>
      </c>
      <c r="C57" s="53">
        <v>104.0</v>
      </c>
      <c r="D57" s="53">
        <v>107.0</v>
      </c>
      <c r="E57" s="53">
        <v>110.0</v>
      </c>
      <c r="F57" s="48"/>
      <c r="G57" s="48"/>
      <c r="H57" s="49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45" t="s">
        <v>21</v>
      </c>
      <c r="B58" s="40" t="s">
        <v>22</v>
      </c>
      <c r="C58" s="40" t="s">
        <v>23</v>
      </c>
      <c r="D58" s="40" t="s">
        <v>24</v>
      </c>
      <c r="E58" s="40" t="s">
        <v>25</v>
      </c>
      <c r="F58" s="40" t="s">
        <v>26</v>
      </c>
      <c r="G58" s="40" t="s">
        <v>27</v>
      </c>
      <c r="H58" s="46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2"/>
      <c r="B59" s="53" t="s">
        <v>274</v>
      </c>
      <c r="C59" s="53" t="s">
        <v>275</v>
      </c>
      <c r="D59" s="53" t="s">
        <v>276</v>
      </c>
      <c r="E59" s="48"/>
      <c r="F59" s="48"/>
      <c r="G59" s="48"/>
      <c r="H59" s="49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5" t="s">
        <v>28</v>
      </c>
      <c r="B60" s="33"/>
      <c r="C60" s="40" t="s">
        <v>15</v>
      </c>
      <c r="D60" s="40" t="s">
        <v>16</v>
      </c>
      <c r="E60" s="40" t="s">
        <v>17</v>
      </c>
      <c r="F60" s="40" t="s">
        <v>18</v>
      </c>
      <c r="G60" s="40" t="s">
        <v>19</v>
      </c>
      <c r="H60" s="51" t="s">
        <v>20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6"/>
      <c r="B61" s="40" t="s">
        <v>30</v>
      </c>
      <c r="C61" s="52">
        <v>93.61</v>
      </c>
      <c r="D61" s="40">
        <v>97.91</v>
      </c>
      <c r="E61" s="40">
        <v>100.0</v>
      </c>
      <c r="F61" s="40">
        <v>98.0</v>
      </c>
      <c r="G61" s="33"/>
      <c r="H61" s="46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6"/>
      <c r="B62" s="40" t="s">
        <v>31</v>
      </c>
      <c r="C62" s="40">
        <v>88.4</v>
      </c>
      <c r="D62" s="33"/>
      <c r="E62" s="40">
        <v>100.0</v>
      </c>
      <c r="F62" s="33"/>
      <c r="G62" s="33"/>
      <c r="H62" s="46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2"/>
      <c r="B63" s="53" t="s">
        <v>32</v>
      </c>
      <c r="C63" s="53">
        <v>88.4</v>
      </c>
      <c r="D63" s="48"/>
      <c r="E63" s="53">
        <v>100.0</v>
      </c>
      <c r="F63" s="48"/>
      <c r="G63" s="48"/>
      <c r="H63" s="49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54" t="s">
        <v>33</v>
      </c>
      <c r="B64" s="33"/>
      <c r="C64" s="33"/>
      <c r="D64" s="33"/>
      <c r="E64" s="33"/>
      <c r="F64" s="33"/>
      <c r="G64" s="33"/>
      <c r="H64" s="46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55"/>
      <c r="B65" s="33"/>
      <c r="C65" s="33"/>
      <c r="D65" s="33"/>
      <c r="E65" s="33"/>
      <c r="F65" s="33"/>
      <c r="G65" s="33"/>
      <c r="H65" s="46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55"/>
      <c r="B66" s="33"/>
      <c r="C66" s="33"/>
      <c r="D66" s="33"/>
      <c r="E66" s="33"/>
      <c r="F66" s="33"/>
      <c r="G66" s="33"/>
      <c r="H66" s="46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56"/>
      <c r="B67" s="48"/>
      <c r="C67" s="48"/>
      <c r="D67" s="48"/>
      <c r="E67" s="48"/>
      <c r="F67" s="48"/>
      <c r="G67" s="48"/>
      <c r="H67" s="49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3"/>
      <c r="B68" s="33"/>
      <c r="C68" s="33"/>
      <c r="D68" s="33"/>
      <c r="E68" s="33"/>
      <c r="F68" s="33"/>
      <c r="G68" s="33"/>
      <c r="H68" s="33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33"/>
      <c r="B69" s="33"/>
      <c r="C69" s="33"/>
      <c r="D69" s="33"/>
      <c r="E69" s="33"/>
      <c r="F69" s="33"/>
      <c r="G69" s="33"/>
      <c r="H69" s="33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40" t="s">
        <v>277</v>
      </c>
      <c r="B70" s="33"/>
      <c r="C70" s="33"/>
      <c r="D70" s="33"/>
      <c r="E70" s="33"/>
      <c r="F70" s="33"/>
      <c r="G70" s="33"/>
      <c r="H70" s="33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35" t="s">
        <v>1</v>
      </c>
      <c r="B71" s="36" t="s">
        <v>2</v>
      </c>
      <c r="C71" s="36" t="s">
        <v>3</v>
      </c>
      <c r="D71" s="36" t="s">
        <v>4</v>
      </c>
      <c r="E71" s="36" t="s">
        <v>5</v>
      </c>
      <c r="F71" s="36" t="s">
        <v>6</v>
      </c>
      <c r="G71" s="36" t="s">
        <v>7</v>
      </c>
      <c r="H71" s="37" t="s">
        <v>8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6"/>
      <c r="B72" s="40" t="s">
        <v>278</v>
      </c>
      <c r="C72" s="40" t="s">
        <v>270</v>
      </c>
      <c r="D72" s="40" t="s">
        <v>279</v>
      </c>
      <c r="E72" s="40" t="s">
        <v>280</v>
      </c>
      <c r="F72" s="40" t="s">
        <v>281</v>
      </c>
      <c r="G72" s="40" t="s">
        <v>282</v>
      </c>
      <c r="H72" s="51" t="s">
        <v>283</v>
      </c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2"/>
      <c r="B73" s="41" t="s">
        <v>13</v>
      </c>
      <c r="C73" s="41" t="s">
        <v>284</v>
      </c>
      <c r="D73" s="73"/>
      <c r="E73" s="73"/>
      <c r="F73" s="73"/>
      <c r="G73" s="43"/>
      <c r="H73" s="4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45" t="s">
        <v>14</v>
      </c>
      <c r="B74" s="40" t="s">
        <v>15</v>
      </c>
      <c r="C74" s="40" t="s">
        <v>16</v>
      </c>
      <c r="D74" s="40" t="s">
        <v>17</v>
      </c>
      <c r="E74" s="40" t="s">
        <v>18</v>
      </c>
      <c r="F74" s="40" t="s">
        <v>19</v>
      </c>
      <c r="G74" s="40" t="s">
        <v>20</v>
      </c>
      <c r="H74" s="46"/>
      <c r="I74" s="34"/>
      <c r="J74" s="34"/>
      <c r="K74" s="59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2"/>
      <c r="B75" s="47">
        <v>101.0</v>
      </c>
      <c r="C75" s="53">
        <v>104.0</v>
      </c>
      <c r="D75" s="53">
        <v>107.0</v>
      </c>
      <c r="E75" s="53">
        <v>110.0</v>
      </c>
      <c r="F75" s="48"/>
      <c r="G75" s="48"/>
      <c r="H75" s="49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ht="30.0" customHeight="1">
      <c r="A76" s="45" t="s">
        <v>21</v>
      </c>
      <c r="B76" s="40" t="s">
        <v>22</v>
      </c>
      <c r="C76" s="40" t="s">
        <v>23</v>
      </c>
      <c r="D76" s="40" t="s">
        <v>24</v>
      </c>
      <c r="E76" s="40" t="s">
        <v>25</v>
      </c>
      <c r="F76" s="40" t="s">
        <v>26</v>
      </c>
      <c r="G76" s="40" t="s">
        <v>27</v>
      </c>
      <c r="H76" s="46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12"/>
      <c r="B77" s="53" t="s">
        <v>285</v>
      </c>
      <c r="C77" s="53" t="s">
        <v>286</v>
      </c>
      <c r="D77" s="53" t="s">
        <v>287</v>
      </c>
      <c r="E77" s="48"/>
      <c r="F77" s="48"/>
      <c r="G77" s="48"/>
      <c r="H77" s="49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45" t="s">
        <v>28</v>
      </c>
      <c r="B78" s="33"/>
      <c r="C78" s="40" t="s">
        <v>15</v>
      </c>
      <c r="D78" s="40" t="s">
        <v>16</v>
      </c>
      <c r="E78" s="40" t="s">
        <v>17</v>
      </c>
      <c r="F78" s="40" t="s">
        <v>18</v>
      </c>
      <c r="G78" s="40" t="s">
        <v>19</v>
      </c>
      <c r="H78" s="51" t="s">
        <v>20</v>
      </c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6"/>
      <c r="B79" s="40" t="s">
        <v>30</v>
      </c>
      <c r="C79" s="52">
        <v>78.72</v>
      </c>
      <c r="D79" s="40">
        <v>79.5</v>
      </c>
      <c r="E79" s="40">
        <v>96.0</v>
      </c>
      <c r="F79" s="40">
        <v>98.0</v>
      </c>
      <c r="G79" s="33"/>
      <c r="H79" s="46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6"/>
      <c r="B80" s="40" t="s">
        <v>31</v>
      </c>
      <c r="C80" s="40">
        <v>86.5</v>
      </c>
      <c r="D80" s="33"/>
      <c r="E80" s="40">
        <v>93.9</v>
      </c>
      <c r="F80" s="33"/>
      <c r="G80" s="33"/>
      <c r="H80" s="46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2"/>
      <c r="B81" s="53" t="s">
        <v>32</v>
      </c>
      <c r="C81" s="53">
        <v>75.0</v>
      </c>
      <c r="D81" s="48"/>
      <c r="E81" s="53">
        <v>98.0</v>
      </c>
      <c r="F81" s="48"/>
      <c r="G81" s="48"/>
      <c r="H81" s="49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54" t="s">
        <v>33</v>
      </c>
      <c r="B82" s="33"/>
      <c r="C82" s="33"/>
      <c r="D82" s="33"/>
      <c r="E82" s="33"/>
      <c r="F82" s="33"/>
      <c r="G82" s="33"/>
      <c r="H82" s="4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55"/>
      <c r="B83" s="33"/>
      <c r="C83" s="33"/>
      <c r="D83" s="33"/>
      <c r="E83" s="33"/>
      <c r="F83" s="33"/>
      <c r="G83" s="33"/>
      <c r="H83" s="46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55"/>
      <c r="B84" s="33"/>
      <c r="C84" s="33"/>
      <c r="D84" s="33"/>
      <c r="E84" s="33"/>
      <c r="F84" s="33"/>
      <c r="G84" s="33"/>
      <c r="H84" s="4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6"/>
      <c r="B85" s="48"/>
      <c r="C85" s="48"/>
      <c r="D85" s="48"/>
      <c r="E85" s="48"/>
      <c r="F85" s="48"/>
      <c r="G85" s="48"/>
      <c r="H85" s="49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33"/>
      <c r="B86" s="33"/>
      <c r="C86" s="33"/>
      <c r="D86" s="33"/>
      <c r="E86" s="33"/>
      <c r="F86" s="33"/>
      <c r="G86" s="33"/>
      <c r="H86" s="33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33"/>
      <c r="B87" s="33"/>
      <c r="C87" s="33"/>
      <c r="D87" s="33"/>
      <c r="E87" s="33"/>
      <c r="F87" s="33"/>
      <c r="G87" s="33"/>
      <c r="H87" s="33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0" t="s">
        <v>288</v>
      </c>
      <c r="B88" s="33"/>
      <c r="C88" s="33"/>
      <c r="D88" s="33"/>
      <c r="E88" s="33"/>
      <c r="F88" s="33"/>
      <c r="G88" s="33"/>
      <c r="H88" s="33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35" t="s">
        <v>1</v>
      </c>
      <c r="B89" s="36" t="s">
        <v>2</v>
      </c>
      <c r="C89" s="36" t="s">
        <v>3</v>
      </c>
      <c r="D89" s="36" t="s">
        <v>4</v>
      </c>
      <c r="E89" s="36" t="s">
        <v>5</v>
      </c>
      <c r="F89" s="36" t="s">
        <v>6</v>
      </c>
      <c r="G89" s="36" t="s">
        <v>7</v>
      </c>
      <c r="H89" s="37" t="s">
        <v>8</v>
      </c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6"/>
      <c r="B90" s="52" t="s">
        <v>289</v>
      </c>
      <c r="C90" s="40" t="s">
        <v>212</v>
      </c>
      <c r="D90" s="40" t="s">
        <v>237</v>
      </c>
      <c r="E90" s="33"/>
      <c r="F90" s="40" t="s">
        <v>290</v>
      </c>
      <c r="G90" s="71" t="s">
        <v>291</v>
      </c>
      <c r="H90" s="72" t="s">
        <v>292</v>
      </c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2"/>
      <c r="B91" s="41" t="s">
        <v>13</v>
      </c>
      <c r="C91" s="41" t="s">
        <v>293</v>
      </c>
      <c r="D91" s="73"/>
      <c r="E91" s="73"/>
      <c r="F91" s="73"/>
      <c r="G91" s="73"/>
      <c r="H91" s="4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45" t="s">
        <v>14</v>
      </c>
      <c r="B92" s="40" t="s">
        <v>15</v>
      </c>
      <c r="C92" s="40" t="s">
        <v>16</v>
      </c>
      <c r="D92" s="40" t="s">
        <v>17</v>
      </c>
      <c r="E92" s="40" t="s">
        <v>18</v>
      </c>
      <c r="F92" s="40" t="s">
        <v>19</v>
      </c>
      <c r="G92" s="40" t="s">
        <v>20</v>
      </c>
      <c r="H92" s="46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2"/>
      <c r="B93" s="47">
        <v>101.0</v>
      </c>
      <c r="C93" s="53">
        <v>104.0</v>
      </c>
      <c r="D93" s="53">
        <v>107.0</v>
      </c>
      <c r="E93" s="53">
        <v>110.0</v>
      </c>
      <c r="F93" s="48"/>
      <c r="G93" s="48"/>
      <c r="H93" s="49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45" t="s">
        <v>21</v>
      </c>
      <c r="B94" s="40" t="s">
        <v>22</v>
      </c>
      <c r="C94" s="40" t="s">
        <v>23</v>
      </c>
      <c r="D94" s="40" t="s">
        <v>24</v>
      </c>
      <c r="E94" s="40" t="s">
        <v>25</v>
      </c>
      <c r="F94" s="40" t="s">
        <v>26</v>
      </c>
      <c r="G94" s="40" t="s">
        <v>27</v>
      </c>
      <c r="H94" s="46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2"/>
      <c r="B95" s="53" t="s">
        <v>294</v>
      </c>
      <c r="C95" s="53" t="s">
        <v>295</v>
      </c>
      <c r="D95" s="53" t="s">
        <v>296</v>
      </c>
      <c r="E95" s="48"/>
      <c r="F95" s="48"/>
      <c r="G95" s="48"/>
      <c r="H95" s="49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5" t="s">
        <v>28</v>
      </c>
      <c r="B96" s="33"/>
      <c r="C96" s="40" t="s">
        <v>15</v>
      </c>
      <c r="D96" s="40" t="s">
        <v>16</v>
      </c>
      <c r="E96" s="40" t="s">
        <v>17</v>
      </c>
      <c r="F96" s="40" t="s">
        <v>18</v>
      </c>
      <c r="G96" s="40" t="s">
        <v>19</v>
      </c>
      <c r="H96" s="51" t="s">
        <v>20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6"/>
      <c r="B97" s="40" t="s">
        <v>30</v>
      </c>
      <c r="C97" s="52">
        <v>63.83</v>
      </c>
      <c r="D97" s="40">
        <v>83.58</v>
      </c>
      <c r="E97" s="40">
        <v>86.0</v>
      </c>
      <c r="F97" s="40">
        <v>88.0</v>
      </c>
      <c r="G97" s="33"/>
      <c r="H97" s="46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6"/>
      <c r="B98" s="40" t="s">
        <v>31</v>
      </c>
      <c r="C98" s="40">
        <v>69.2</v>
      </c>
      <c r="D98" s="33"/>
      <c r="E98" s="40">
        <v>87.8</v>
      </c>
      <c r="F98" s="33"/>
      <c r="G98" s="33"/>
      <c r="H98" s="46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2"/>
      <c r="B99" s="53" t="s">
        <v>32</v>
      </c>
      <c r="C99" s="53">
        <v>84.6</v>
      </c>
      <c r="D99" s="48"/>
      <c r="E99" s="53">
        <v>96.0</v>
      </c>
      <c r="F99" s="48"/>
      <c r="G99" s="48"/>
      <c r="H99" s="49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54" t="s">
        <v>33</v>
      </c>
      <c r="B100" s="33"/>
      <c r="C100" s="33"/>
      <c r="D100" s="33"/>
      <c r="E100" s="33"/>
      <c r="F100" s="33"/>
      <c r="G100" s="33"/>
      <c r="H100" s="46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55"/>
      <c r="B101" s="33"/>
      <c r="C101" s="33"/>
      <c r="D101" s="33"/>
      <c r="E101" s="33"/>
      <c r="F101" s="33"/>
      <c r="G101" s="33"/>
      <c r="H101" s="46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55"/>
      <c r="B102" s="33"/>
      <c r="C102" s="33"/>
      <c r="D102" s="33"/>
      <c r="E102" s="33"/>
      <c r="F102" s="33"/>
      <c r="G102" s="33"/>
      <c r="H102" s="46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56"/>
      <c r="B103" s="48"/>
      <c r="C103" s="48"/>
      <c r="D103" s="48"/>
      <c r="E103" s="48"/>
      <c r="F103" s="48"/>
      <c r="G103" s="48"/>
      <c r="H103" s="49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40" t="s">
        <v>297</v>
      </c>
      <c r="B106" s="33"/>
      <c r="C106" s="33"/>
      <c r="D106" s="33"/>
      <c r="E106" s="33"/>
      <c r="F106" s="33"/>
      <c r="G106" s="33"/>
      <c r="H106" s="33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5" t="s">
        <v>1</v>
      </c>
      <c r="B107" s="36" t="s">
        <v>2</v>
      </c>
      <c r="C107" s="36" t="s">
        <v>3</v>
      </c>
      <c r="D107" s="36" t="s">
        <v>4</v>
      </c>
      <c r="E107" s="36" t="s">
        <v>5</v>
      </c>
      <c r="F107" s="36" t="s">
        <v>6</v>
      </c>
      <c r="G107" s="36" t="s">
        <v>7</v>
      </c>
      <c r="H107" s="37" t="s">
        <v>8</v>
      </c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6"/>
      <c r="B108" s="52" t="s">
        <v>298</v>
      </c>
      <c r="C108" s="40"/>
      <c r="D108" s="33"/>
      <c r="E108" s="40" t="s">
        <v>172</v>
      </c>
      <c r="F108" s="40" t="s">
        <v>173</v>
      </c>
      <c r="G108" s="71" t="s">
        <v>299</v>
      </c>
      <c r="H108" s="72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12"/>
      <c r="B109" s="41" t="s">
        <v>13</v>
      </c>
      <c r="C109" s="41" t="s">
        <v>174</v>
      </c>
      <c r="D109" s="73"/>
      <c r="E109" s="73"/>
      <c r="F109" s="73"/>
      <c r="G109" s="73"/>
      <c r="H109" s="4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45" t="s">
        <v>14</v>
      </c>
      <c r="B110" s="40" t="s">
        <v>15</v>
      </c>
      <c r="C110" s="40" t="s">
        <v>16</v>
      </c>
      <c r="D110" s="40" t="s">
        <v>17</v>
      </c>
      <c r="E110" s="40" t="s">
        <v>18</v>
      </c>
      <c r="F110" s="40" t="s">
        <v>19</v>
      </c>
      <c r="G110" s="40" t="s">
        <v>20</v>
      </c>
      <c r="H110" s="46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12"/>
      <c r="B111" s="47"/>
      <c r="C111" s="53"/>
      <c r="D111" s="53">
        <v>109.6</v>
      </c>
      <c r="E111" s="53">
        <v>110.0</v>
      </c>
      <c r="F111" s="48"/>
      <c r="G111" s="48"/>
      <c r="H111" s="49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45" t="s">
        <v>21</v>
      </c>
      <c r="B112" s="40" t="s">
        <v>22</v>
      </c>
      <c r="C112" s="40" t="s">
        <v>23</v>
      </c>
      <c r="D112" s="40" t="s">
        <v>24</v>
      </c>
      <c r="E112" s="40" t="s">
        <v>25</v>
      </c>
      <c r="F112" s="40" t="s">
        <v>26</v>
      </c>
      <c r="G112" s="40" t="s">
        <v>27</v>
      </c>
      <c r="H112" s="46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12"/>
      <c r="B113" s="53" t="s">
        <v>294</v>
      </c>
      <c r="C113" s="53" t="s">
        <v>295</v>
      </c>
      <c r="D113" s="53" t="s">
        <v>300</v>
      </c>
      <c r="E113" s="48"/>
      <c r="F113" s="48"/>
      <c r="G113" s="48"/>
      <c r="H113" s="49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45" t="s">
        <v>28</v>
      </c>
      <c r="B114" s="33"/>
      <c r="C114" s="40" t="s">
        <v>15</v>
      </c>
      <c r="D114" s="40" t="s">
        <v>16</v>
      </c>
      <c r="E114" s="40" t="s">
        <v>17</v>
      </c>
      <c r="F114" s="40" t="s">
        <v>18</v>
      </c>
      <c r="G114" s="40" t="s">
        <v>19</v>
      </c>
      <c r="H114" s="51" t="s">
        <v>20</v>
      </c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6"/>
      <c r="B115" s="40" t="s">
        <v>30</v>
      </c>
      <c r="C115" s="52"/>
      <c r="D115" s="40"/>
      <c r="E115" s="40"/>
      <c r="F115" s="40">
        <v>98.0</v>
      </c>
      <c r="G115" s="33"/>
      <c r="H115" s="46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6"/>
      <c r="B116" s="40" t="s">
        <v>31</v>
      </c>
      <c r="C116" s="40"/>
      <c r="D116" s="33"/>
      <c r="E116" s="40"/>
      <c r="F116" s="33"/>
      <c r="G116" s="33"/>
      <c r="H116" s="46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12"/>
      <c r="B117" s="53" t="s">
        <v>32</v>
      </c>
      <c r="C117" s="53"/>
      <c r="D117" s="48"/>
      <c r="E117" s="53">
        <v>100.0</v>
      </c>
      <c r="F117" s="48"/>
      <c r="G117" s="48"/>
      <c r="H117" s="49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54" t="s">
        <v>33</v>
      </c>
      <c r="B118" s="33"/>
      <c r="C118" s="33"/>
      <c r="D118" s="33"/>
      <c r="E118" s="33"/>
      <c r="F118" s="33"/>
      <c r="G118" s="33"/>
      <c r="H118" s="46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54" t="s">
        <v>176</v>
      </c>
      <c r="B119" s="33"/>
      <c r="C119" s="33"/>
      <c r="D119" s="33"/>
      <c r="E119" s="33"/>
      <c r="F119" s="33"/>
      <c r="G119" s="33"/>
      <c r="H119" s="46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55"/>
      <c r="B120" s="33"/>
      <c r="C120" s="33"/>
      <c r="D120" s="33"/>
      <c r="E120" s="33"/>
      <c r="F120" s="33"/>
      <c r="G120" s="33"/>
      <c r="H120" s="46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56"/>
      <c r="B121" s="48"/>
      <c r="C121" s="48"/>
      <c r="D121" s="48"/>
      <c r="E121" s="48"/>
      <c r="F121" s="48"/>
      <c r="G121" s="48"/>
      <c r="H121" s="49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</sheetData>
  <mergeCells count="35">
    <mergeCell ref="A2:A4"/>
    <mergeCell ref="C4:F4"/>
    <mergeCell ref="A5:A6"/>
    <mergeCell ref="A7:A8"/>
    <mergeCell ref="A9:A12"/>
    <mergeCell ref="A18:A20"/>
    <mergeCell ref="C20:F20"/>
    <mergeCell ref="A21:A22"/>
    <mergeCell ref="A23:A24"/>
    <mergeCell ref="A25:A28"/>
    <mergeCell ref="A35:A37"/>
    <mergeCell ref="C37:E37"/>
    <mergeCell ref="A38:A39"/>
    <mergeCell ref="A40:A41"/>
    <mergeCell ref="A42:A45"/>
    <mergeCell ref="A53:A55"/>
    <mergeCell ref="C55:F55"/>
    <mergeCell ref="A56:A57"/>
    <mergeCell ref="A58:A59"/>
    <mergeCell ref="A60:A63"/>
    <mergeCell ref="C73:F73"/>
    <mergeCell ref="A94:A95"/>
    <mergeCell ref="A96:A99"/>
    <mergeCell ref="A107:A109"/>
    <mergeCell ref="C109:G109"/>
    <mergeCell ref="A110:A111"/>
    <mergeCell ref="A112:A113"/>
    <mergeCell ref="A114:A117"/>
    <mergeCell ref="A71:A73"/>
    <mergeCell ref="A74:A75"/>
    <mergeCell ref="A76:A77"/>
    <mergeCell ref="A78:A81"/>
    <mergeCell ref="A89:A91"/>
    <mergeCell ref="C91:G91"/>
    <mergeCell ref="A92:A93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FA8DC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14.0"/>
  </cols>
  <sheetData>
    <row r="1">
      <c r="A1" s="99" t="s">
        <v>301</v>
      </c>
      <c r="B1" s="43"/>
      <c r="C1" s="43"/>
      <c r="D1" s="43"/>
      <c r="E1" s="43"/>
      <c r="F1" s="43"/>
      <c r="G1" s="43"/>
      <c r="H1" s="48"/>
      <c r="I1" s="33"/>
      <c r="J1" s="33"/>
      <c r="K1" s="33"/>
      <c r="L1" s="33"/>
      <c r="M1" s="33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5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51" t="s">
        <v>8</v>
      </c>
      <c r="I2" s="33"/>
      <c r="J2" s="33"/>
      <c r="K2" s="33"/>
      <c r="L2" s="33"/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3.75" customHeight="1">
      <c r="A3" s="6"/>
      <c r="B3" s="40" t="s">
        <v>302</v>
      </c>
      <c r="C3" s="40" t="s">
        <v>303</v>
      </c>
      <c r="D3" s="40" t="s">
        <v>304</v>
      </c>
      <c r="E3" s="40" t="s">
        <v>131</v>
      </c>
      <c r="F3" s="40" t="s">
        <v>132</v>
      </c>
      <c r="G3" s="40" t="s">
        <v>305</v>
      </c>
      <c r="H3" s="51" t="s">
        <v>306</v>
      </c>
      <c r="I3" s="33"/>
      <c r="J3" s="33"/>
      <c r="K3" s="33"/>
      <c r="L3" s="33"/>
      <c r="M3" s="33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135</v>
      </c>
      <c r="D4" s="73"/>
      <c r="E4" s="73"/>
      <c r="F4" s="43"/>
      <c r="G4" s="43"/>
      <c r="H4" s="44"/>
      <c r="I4" s="33"/>
      <c r="J4" s="33"/>
      <c r="K4" s="33"/>
      <c r="L4" s="33"/>
      <c r="M4" s="33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3"/>
      <c r="J5" s="33"/>
      <c r="K5" s="33"/>
      <c r="L5" s="33"/>
      <c r="M5" s="33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>
        <v>100.0</v>
      </c>
      <c r="C6" s="53">
        <v>103.0</v>
      </c>
      <c r="D6" s="53">
        <v>106.0</v>
      </c>
      <c r="E6" s="53">
        <v>109.0</v>
      </c>
      <c r="F6" s="48"/>
      <c r="G6" s="48"/>
      <c r="H6" s="49"/>
      <c r="I6" s="33"/>
      <c r="J6" s="33"/>
      <c r="K6" s="33"/>
      <c r="L6" s="33"/>
      <c r="M6" s="33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3"/>
      <c r="J7" s="33"/>
      <c r="K7" s="33"/>
      <c r="L7" s="33"/>
      <c r="M7" s="33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 t="s">
        <v>240</v>
      </c>
      <c r="C8" s="53" t="s">
        <v>241</v>
      </c>
      <c r="D8" s="53" t="s">
        <v>307</v>
      </c>
      <c r="E8" s="48"/>
      <c r="F8" s="48"/>
      <c r="G8" s="48"/>
      <c r="H8" s="49"/>
      <c r="I8" s="33"/>
      <c r="J8" s="33"/>
      <c r="K8" s="33"/>
      <c r="L8" s="33"/>
      <c r="M8" s="33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3"/>
      <c r="J9" s="33"/>
      <c r="K9" s="33"/>
      <c r="L9" s="33"/>
      <c r="M9" s="33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52">
        <v>56.0</v>
      </c>
      <c r="D10" s="40">
        <v>77.52</v>
      </c>
      <c r="E10" s="40">
        <v>91.49</v>
      </c>
      <c r="F10" s="40">
        <v>96.88</v>
      </c>
      <c r="G10" s="33"/>
      <c r="H10" s="46"/>
      <c r="I10" s="33"/>
      <c r="J10" s="33"/>
      <c r="K10" s="33"/>
      <c r="L10" s="33"/>
      <c r="M10" s="33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52">
        <v>74.46</v>
      </c>
      <c r="D11" s="40">
        <v>89.75</v>
      </c>
      <c r="E11" s="40">
        <v>98.0</v>
      </c>
      <c r="F11" s="40">
        <v>98.0</v>
      </c>
      <c r="G11" s="33"/>
      <c r="H11" s="46"/>
      <c r="I11" s="33"/>
      <c r="J11" s="33"/>
      <c r="K11" s="33"/>
      <c r="L11" s="33"/>
      <c r="M11" s="33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48"/>
      <c r="D12" s="48"/>
      <c r="E12" s="53">
        <v>89.8</v>
      </c>
      <c r="F12" s="40"/>
      <c r="G12" s="48"/>
      <c r="H12" s="49"/>
      <c r="I12" s="33"/>
      <c r="J12" s="33"/>
      <c r="K12" s="33"/>
      <c r="L12" s="33"/>
      <c r="M12" s="33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B13" s="33"/>
      <c r="C13" s="33"/>
      <c r="D13" s="33"/>
      <c r="E13" s="33"/>
      <c r="F13" s="33"/>
      <c r="G13" s="33"/>
      <c r="H13" s="46"/>
      <c r="I13" s="33"/>
      <c r="J13" s="33"/>
      <c r="K13" s="33"/>
      <c r="L13" s="33"/>
      <c r="M13" s="33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3"/>
      <c r="J14" s="33"/>
      <c r="K14" s="33"/>
      <c r="L14" s="33"/>
      <c r="M14" s="33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3"/>
      <c r="J15" s="33"/>
      <c r="K15" s="33"/>
      <c r="L15" s="33"/>
      <c r="M15" s="33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6"/>
      <c r="B16" s="48"/>
      <c r="C16" s="48"/>
      <c r="D16" s="48"/>
      <c r="E16" s="48"/>
      <c r="F16" s="48"/>
      <c r="G16" s="48"/>
      <c r="H16" s="49"/>
      <c r="I16" s="33"/>
      <c r="J16" s="33"/>
      <c r="K16" s="33"/>
      <c r="L16" s="33"/>
      <c r="M16" s="33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40" t="s">
        <v>308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35" t="s">
        <v>1</v>
      </c>
      <c r="B19" s="36" t="s">
        <v>2</v>
      </c>
      <c r="C19" s="36" t="s">
        <v>3</v>
      </c>
      <c r="D19" s="36" t="s">
        <v>4</v>
      </c>
      <c r="E19" s="36" t="s">
        <v>5</v>
      </c>
      <c r="F19" s="36" t="s">
        <v>6</v>
      </c>
      <c r="G19" s="36" t="s">
        <v>7</v>
      </c>
      <c r="H19" s="37" t="s">
        <v>8</v>
      </c>
      <c r="I19" s="33"/>
      <c r="J19" s="33"/>
      <c r="K19" s="33"/>
      <c r="L19" s="33"/>
      <c r="M19" s="33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6"/>
      <c r="B20" s="40" t="s">
        <v>309</v>
      </c>
      <c r="C20" s="40" t="s">
        <v>310</v>
      </c>
      <c r="D20" s="40" t="s">
        <v>311</v>
      </c>
      <c r="E20" s="40" t="s">
        <v>312</v>
      </c>
      <c r="F20" s="40" t="s">
        <v>313</v>
      </c>
      <c r="G20" s="40" t="s">
        <v>314</v>
      </c>
      <c r="H20" s="51" t="s">
        <v>315</v>
      </c>
      <c r="I20" s="33"/>
      <c r="J20" s="33"/>
      <c r="K20" s="33"/>
      <c r="L20" s="33"/>
      <c r="M20" s="33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ht="34.5" customHeight="1">
      <c r="A21" s="12"/>
      <c r="B21" s="41" t="s">
        <v>13</v>
      </c>
      <c r="C21" s="41" t="s">
        <v>316</v>
      </c>
      <c r="D21" s="73"/>
      <c r="E21" s="73"/>
      <c r="F21" s="43"/>
      <c r="G21" s="43"/>
      <c r="H21" s="44"/>
      <c r="I21" s="33"/>
      <c r="J21" s="33"/>
      <c r="K21" s="33"/>
      <c r="L21" s="33"/>
      <c r="M21" s="33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45" t="s">
        <v>14</v>
      </c>
      <c r="B22" s="40" t="s">
        <v>15</v>
      </c>
      <c r="C22" s="40" t="s">
        <v>16</v>
      </c>
      <c r="D22" s="40" t="s">
        <v>17</v>
      </c>
      <c r="E22" s="40" t="s">
        <v>18</v>
      </c>
      <c r="F22" s="40" t="s">
        <v>19</v>
      </c>
      <c r="G22" s="40" t="s">
        <v>20</v>
      </c>
      <c r="H22" s="46"/>
      <c r="I22" s="33"/>
      <c r="J22" s="33"/>
      <c r="K22" s="33"/>
      <c r="L22" s="33"/>
      <c r="M22" s="33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12"/>
      <c r="B23" s="47">
        <v>100.0</v>
      </c>
      <c r="C23" s="53">
        <v>103.0</v>
      </c>
      <c r="D23" s="53">
        <v>106.0</v>
      </c>
      <c r="E23" s="53">
        <v>109.0</v>
      </c>
      <c r="F23" s="48"/>
      <c r="G23" s="48"/>
      <c r="H23" s="49"/>
      <c r="I23" s="33"/>
      <c r="J23" s="33"/>
      <c r="K23" s="33"/>
      <c r="L23" s="33"/>
      <c r="M23" s="33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45" t="s">
        <v>21</v>
      </c>
      <c r="B24" s="40" t="s">
        <v>22</v>
      </c>
      <c r="C24" s="40" t="s">
        <v>23</v>
      </c>
      <c r="D24" s="40" t="s">
        <v>24</v>
      </c>
      <c r="E24" s="40" t="s">
        <v>25</v>
      </c>
      <c r="F24" s="40" t="s">
        <v>26</v>
      </c>
      <c r="G24" s="40" t="s">
        <v>27</v>
      </c>
      <c r="H24" s="46"/>
      <c r="I24" s="33"/>
      <c r="J24" s="33"/>
      <c r="K24" s="33"/>
      <c r="L24" s="33"/>
      <c r="M24" s="33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12"/>
      <c r="B25" s="53" t="s">
        <v>296</v>
      </c>
      <c r="C25" s="53" t="s">
        <v>110</v>
      </c>
      <c r="D25" s="53" t="s">
        <v>300</v>
      </c>
      <c r="E25" s="48"/>
      <c r="F25" s="48"/>
      <c r="G25" s="48"/>
      <c r="H25" s="49"/>
      <c r="I25" s="33"/>
      <c r="J25" s="33"/>
      <c r="K25" s="33"/>
      <c r="L25" s="33"/>
      <c r="M25" s="33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45" t="s">
        <v>28</v>
      </c>
      <c r="B26" s="33"/>
      <c r="C26" s="40" t="s">
        <v>15</v>
      </c>
      <c r="D26" s="40" t="s">
        <v>16</v>
      </c>
      <c r="E26" s="40" t="s">
        <v>17</v>
      </c>
      <c r="F26" s="40" t="s">
        <v>18</v>
      </c>
      <c r="G26" s="40" t="s">
        <v>19</v>
      </c>
      <c r="H26" s="51" t="s">
        <v>20</v>
      </c>
      <c r="I26" s="33"/>
      <c r="J26" s="33"/>
      <c r="K26" s="33"/>
      <c r="L26" s="33"/>
      <c r="M26" s="33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6"/>
      <c r="B27" s="40" t="s">
        <v>30</v>
      </c>
      <c r="C27" s="52">
        <v>80.0</v>
      </c>
      <c r="D27" s="40">
        <v>98.0</v>
      </c>
      <c r="E27" s="40">
        <v>80.85</v>
      </c>
      <c r="F27" s="40">
        <v>90.63</v>
      </c>
      <c r="G27" s="33"/>
      <c r="H27" s="46"/>
      <c r="I27" s="33"/>
      <c r="J27" s="33"/>
      <c r="K27" s="33"/>
      <c r="L27" s="33"/>
      <c r="M27" s="33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6"/>
      <c r="B28" s="40" t="s">
        <v>31</v>
      </c>
      <c r="C28" s="52">
        <v>93.61</v>
      </c>
      <c r="D28" s="40">
        <v>81.5</v>
      </c>
      <c r="E28" s="40">
        <v>92.0</v>
      </c>
      <c r="F28" s="40">
        <v>98.0</v>
      </c>
      <c r="G28" s="33"/>
      <c r="H28" s="46"/>
      <c r="I28" s="33"/>
      <c r="J28" s="33"/>
      <c r="K28" s="33"/>
      <c r="L28" s="33"/>
      <c r="M28" s="33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12"/>
      <c r="B29" s="53" t="s">
        <v>32</v>
      </c>
      <c r="C29" s="48"/>
      <c r="D29" s="48"/>
      <c r="E29" s="53">
        <v>83.7</v>
      </c>
      <c r="F29" s="48"/>
      <c r="G29" s="48"/>
      <c r="H29" s="49"/>
      <c r="I29" s="33"/>
      <c r="J29" s="33"/>
      <c r="K29" s="33"/>
      <c r="L29" s="33"/>
      <c r="M29" s="33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54" t="s">
        <v>33</v>
      </c>
      <c r="B30" s="33"/>
      <c r="C30" s="33"/>
      <c r="D30" s="33"/>
      <c r="E30" s="33"/>
      <c r="F30" s="33"/>
      <c r="G30" s="33"/>
      <c r="H30" s="46"/>
      <c r="I30" s="33"/>
      <c r="J30" s="33"/>
      <c r="K30" s="33"/>
      <c r="L30" s="33"/>
      <c r="M30" s="33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55"/>
      <c r="B31" s="33"/>
      <c r="C31" s="33"/>
      <c r="D31" s="33"/>
      <c r="E31" s="33"/>
      <c r="F31" s="33"/>
      <c r="G31" s="33"/>
      <c r="H31" s="46"/>
      <c r="I31" s="33"/>
      <c r="J31" s="33"/>
      <c r="K31" s="33"/>
      <c r="L31" s="33"/>
      <c r="M31" s="33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55"/>
      <c r="B32" s="33"/>
      <c r="C32" s="33"/>
      <c r="D32" s="33"/>
      <c r="E32" s="33"/>
      <c r="F32" s="33"/>
      <c r="G32" s="33"/>
      <c r="H32" s="46"/>
      <c r="I32" s="33"/>
      <c r="J32" s="33"/>
      <c r="K32" s="33"/>
      <c r="L32" s="33"/>
      <c r="M32" s="33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6"/>
      <c r="B33" s="48"/>
      <c r="C33" s="48"/>
      <c r="D33" s="48"/>
      <c r="E33" s="48"/>
      <c r="F33" s="48"/>
      <c r="G33" s="48"/>
      <c r="H33" s="49"/>
      <c r="I33" s="33"/>
      <c r="J33" s="33"/>
      <c r="K33" s="33"/>
      <c r="L33" s="33"/>
      <c r="M33" s="33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40" t="s">
        <v>317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5" t="s">
        <v>1</v>
      </c>
      <c r="B36" s="36" t="s">
        <v>2</v>
      </c>
      <c r="C36" s="36" t="s">
        <v>3</v>
      </c>
      <c r="D36" s="36" t="s">
        <v>4</v>
      </c>
      <c r="E36" s="36" t="s">
        <v>5</v>
      </c>
      <c r="F36" s="36" t="s">
        <v>6</v>
      </c>
      <c r="G36" s="36" t="s">
        <v>7</v>
      </c>
      <c r="H36" s="37" t="s">
        <v>8</v>
      </c>
      <c r="I36" s="33"/>
      <c r="J36" s="33"/>
      <c r="K36" s="33"/>
      <c r="L36" s="33"/>
      <c r="M36" s="33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6"/>
      <c r="B37" s="40" t="s">
        <v>318</v>
      </c>
      <c r="C37" s="40" t="s">
        <v>319</v>
      </c>
      <c r="D37" s="40" t="s">
        <v>320</v>
      </c>
      <c r="E37" s="40" t="s">
        <v>112</v>
      </c>
      <c r="F37" s="40" t="s">
        <v>113</v>
      </c>
      <c r="G37" s="40" t="s">
        <v>321</v>
      </c>
      <c r="H37" s="51" t="s">
        <v>322</v>
      </c>
      <c r="I37" s="33"/>
      <c r="J37" s="33"/>
      <c r="K37" s="33"/>
      <c r="L37" s="33"/>
      <c r="M37" s="33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12"/>
      <c r="B38" s="41" t="s">
        <v>13</v>
      </c>
      <c r="C38" s="41" t="s">
        <v>115</v>
      </c>
      <c r="D38" s="73"/>
      <c r="E38" s="73"/>
      <c r="F38" s="43"/>
      <c r="G38" s="43"/>
      <c r="H38" s="44"/>
      <c r="I38" s="33"/>
      <c r="J38" s="33"/>
      <c r="K38" s="33"/>
      <c r="L38" s="33"/>
      <c r="M38" s="33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45" t="s">
        <v>14</v>
      </c>
      <c r="B39" s="40" t="s">
        <v>15</v>
      </c>
      <c r="C39" s="40" t="s">
        <v>16</v>
      </c>
      <c r="D39" s="40" t="s">
        <v>17</v>
      </c>
      <c r="E39" s="40" t="s">
        <v>18</v>
      </c>
      <c r="F39" s="40" t="s">
        <v>19</v>
      </c>
      <c r="G39" s="40" t="s">
        <v>20</v>
      </c>
      <c r="H39" s="46"/>
      <c r="I39" s="33"/>
      <c r="J39" s="33"/>
      <c r="K39" s="33"/>
      <c r="L39" s="33"/>
      <c r="M39" s="33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12"/>
      <c r="B40" s="47">
        <v>100.0</v>
      </c>
      <c r="C40" s="53">
        <v>103.0</v>
      </c>
      <c r="D40" s="53">
        <v>106.0</v>
      </c>
      <c r="E40" s="53">
        <v>109.0</v>
      </c>
      <c r="F40" s="48"/>
      <c r="G40" s="48"/>
      <c r="H40" s="49"/>
      <c r="I40" s="33"/>
      <c r="J40" s="33"/>
      <c r="K40" s="33"/>
      <c r="L40" s="33"/>
      <c r="M40" s="33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5" t="s">
        <v>21</v>
      </c>
      <c r="B41" s="40" t="s">
        <v>22</v>
      </c>
      <c r="C41" s="40" t="s">
        <v>23</v>
      </c>
      <c r="D41" s="40" t="s">
        <v>24</v>
      </c>
      <c r="E41" s="40" t="s">
        <v>25</v>
      </c>
      <c r="F41" s="40" t="s">
        <v>26</v>
      </c>
      <c r="G41" s="40" t="s">
        <v>27</v>
      </c>
      <c r="H41" s="46"/>
      <c r="I41" s="33"/>
      <c r="J41" s="33"/>
      <c r="K41" s="33"/>
      <c r="L41" s="33"/>
      <c r="M41" s="33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2"/>
      <c r="B42" s="53" t="s">
        <v>256</v>
      </c>
      <c r="C42" s="53" t="s">
        <v>117</v>
      </c>
      <c r="D42" s="53" t="s">
        <v>323</v>
      </c>
      <c r="E42" s="48"/>
      <c r="F42" s="48"/>
      <c r="G42" s="48"/>
      <c r="H42" s="49"/>
      <c r="I42" s="33"/>
      <c r="J42" s="33"/>
      <c r="K42" s="33"/>
      <c r="L42" s="33"/>
      <c r="M42" s="33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5" t="s">
        <v>28</v>
      </c>
      <c r="B43" s="33"/>
      <c r="C43" s="40" t="s">
        <v>15</v>
      </c>
      <c r="D43" s="40" t="s">
        <v>16</v>
      </c>
      <c r="E43" s="40" t="s">
        <v>17</v>
      </c>
      <c r="F43" s="40" t="s">
        <v>18</v>
      </c>
      <c r="G43" s="40" t="s">
        <v>19</v>
      </c>
      <c r="H43" s="51" t="s">
        <v>20</v>
      </c>
      <c r="I43" s="33"/>
      <c r="J43" s="33"/>
      <c r="K43" s="33"/>
      <c r="L43" s="33"/>
      <c r="M43" s="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6"/>
      <c r="B44" s="40" t="s">
        <v>30</v>
      </c>
      <c r="C44" s="52">
        <v>78.0</v>
      </c>
      <c r="D44" s="40">
        <v>92.15</v>
      </c>
      <c r="E44" s="40">
        <v>95.74</v>
      </c>
      <c r="F44" s="40">
        <v>100.0</v>
      </c>
      <c r="G44" s="33"/>
      <c r="H44" s="46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6"/>
      <c r="B45" s="40" t="s">
        <v>31</v>
      </c>
      <c r="C45" s="52">
        <v>78.72</v>
      </c>
      <c r="D45" s="40">
        <v>95.91</v>
      </c>
      <c r="E45" s="40">
        <v>98.0</v>
      </c>
      <c r="F45" s="40">
        <v>100.0</v>
      </c>
      <c r="G45" s="33"/>
      <c r="H45" s="46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2"/>
      <c r="B46" s="53" t="s">
        <v>32</v>
      </c>
      <c r="C46" s="48"/>
      <c r="D46" s="48"/>
      <c r="E46" s="53">
        <v>95.9</v>
      </c>
      <c r="F46" s="48"/>
      <c r="G46" s="48"/>
      <c r="H46" s="49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54" t="s">
        <v>33</v>
      </c>
      <c r="B47" s="33"/>
      <c r="C47" s="33"/>
      <c r="D47" s="33"/>
      <c r="E47" s="33"/>
      <c r="F47" s="33"/>
      <c r="G47" s="33"/>
      <c r="H47" s="46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55"/>
      <c r="B48" s="33"/>
      <c r="C48" s="33"/>
      <c r="D48" s="33"/>
      <c r="E48" s="33"/>
      <c r="F48" s="33"/>
      <c r="G48" s="33"/>
      <c r="H48" s="46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55"/>
      <c r="B49" s="33"/>
      <c r="C49" s="33"/>
      <c r="D49" s="33"/>
      <c r="E49" s="33"/>
      <c r="F49" s="33"/>
      <c r="G49" s="33"/>
      <c r="H49" s="46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56"/>
      <c r="B50" s="48"/>
      <c r="C50" s="48"/>
      <c r="D50" s="48"/>
      <c r="E50" s="48"/>
      <c r="F50" s="48"/>
      <c r="G50" s="48"/>
      <c r="H50" s="49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33"/>
      <c r="B51" s="33"/>
      <c r="C51" s="33"/>
      <c r="D51" s="33"/>
      <c r="E51" s="33"/>
      <c r="F51" s="33"/>
      <c r="G51" s="33"/>
      <c r="H51" s="33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40" t="s">
        <v>324</v>
      </c>
      <c r="B52" s="33"/>
      <c r="C52" s="33"/>
      <c r="D52" s="33"/>
      <c r="E52" s="33"/>
      <c r="F52" s="33"/>
      <c r="G52" s="33"/>
      <c r="H52" s="33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35" t="s">
        <v>1</v>
      </c>
      <c r="B53" s="36" t="s">
        <v>2</v>
      </c>
      <c r="C53" s="36" t="s">
        <v>3</v>
      </c>
      <c r="D53" s="36" t="s">
        <v>4</v>
      </c>
      <c r="E53" s="36" t="s">
        <v>5</v>
      </c>
      <c r="F53" s="36" t="s">
        <v>6</v>
      </c>
      <c r="G53" s="36" t="s">
        <v>7</v>
      </c>
      <c r="H53" s="37" t="s">
        <v>8</v>
      </c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6"/>
      <c r="B54" s="52" t="s">
        <v>325</v>
      </c>
      <c r="C54" s="40" t="s">
        <v>303</v>
      </c>
      <c r="D54" s="40" t="s">
        <v>326</v>
      </c>
      <c r="E54" s="40" t="s">
        <v>214</v>
      </c>
      <c r="F54" s="40" t="s">
        <v>215</v>
      </c>
      <c r="G54" s="40" t="s">
        <v>327</v>
      </c>
      <c r="H54" s="51" t="s">
        <v>328</v>
      </c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12"/>
      <c r="B55" s="41" t="s">
        <v>13</v>
      </c>
      <c r="C55" s="41" t="s">
        <v>329</v>
      </c>
      <c r="D55" s="41"/>
      <c r="E55" s="41"/>
      <c r="F55" s="43"/>
      <c r="G55" s="43"/>
      <c r="H55" s="4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45" t="s">
        <v>14</v>
      </c>
      <c r="B56" s="40" t="s">
        <v>15</v>
      </c>
      <c r="C56" s="40" t="s">
        <v>16</v>
      </c>
      <c r="D56" s="40" t="s">
        <v>17</v>
      </c>
      <c r="E56" s="40" t="s">
        <v>18</v>
      </c>
      <c r="F56" s="40" t="s">
        <v>19</v>
      </c>
      <c r="G56" s="40" t="s">
        <v>20</v>
      </c>
      <c r="H56" s="46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12"/>
      <c r="B57" s="47">
        <v>100.0</v>
      </c>
      <c r="C57" s="53">
        <v>103.0</v>
      </c>
      <c r="D57" s="53">
        <v>106.0</v>
      </c>
      <c r="E57" s="53">
        <v>109.0</v>
      </c>
      <c r="F57" s="48"/>
      <c r="G57" s="48"/>
      <c r="H57" s="49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45" t="s">
        <v>21</v>
      </c>
      <c r="B58" s="40" t="s">
        <v>22</v>
      </c>
      <c r="C58" s="40" t="s">
        <v>23</v>
      </c>
      <c r="D58" s="40" t="s">
        <v>24</v>
      </c>
      <c r="E58" s="40" t="s">
        <v>25</v>
      </c>
      <c r="F58" s="40" t="s">
        <v>26</v>
      </c>
      <c r="G58" s="40" t="s">
        <v>27</v>
      </c>
      <c r="H58" s="46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2"/>
      <c r="B59" s="53" t="s">
        <v>330</v>
      </c>
      <c r="C59" s="53" t="s">
        <v>138</v>
      </c>
      <c r="D59" s="53" t="s">
        <v>331</v>
      </c>
      <c r="E59" s="48"/>
      <c r="F59" s="48"/>
      <c r="G59" s="48"/>
      <c r="H59" s="49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45" t="s">
        <v>28</v>
      </c>
      <c r="B60" s="33"/>
      <c r="C60" s="40" t="s">
        <v>15</v>
      </c>
      <c r="D60" s="40" t="s">
        <v>16</v>
      </c>
      <c r="E60" s="40" t="s">
        <v>17</v>
      </c>
      <c r="F60" s="40" t="s">
        <v>18</v>
      </c>
      <c r="G60" s="40" t="s">
        <v>19</v>
      </c>
      <c r="H60" s="51" t="s">
        <v>20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ht="32.25" customHeight="1">
      <c r="A61" s="6"/>
      <c r="B61" s="40" t="s">
        <v>30</v>
      </c>
      <c r="C61" s="52">
        <v>72.0</v>
      </c>
      <c r="D61" s="40">
        <v>88.73</v>
      </c>
      <c r="E61" s="40">
        <v>93.62</v>
      </c>
      <c r="F61" s="40">
        <v>100.0</v>
      </c>
      <c r="G61" s="33"/>
      <c r="H61" s="46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6"/>
      <c r="B62" s="40" t="s">
        <v>31</v>
      </c>
      <c r="C62" s="52">
        <v>87.23</v>
      </c>
      <c r="D62" s="40">
        <v>95.91</v>
      </c>
      <c r="E62" s="40">
        <v>98.0</v>
      </c>
      <c r="F62" s="40">
        <v>100.0</v>
      </c>
      <c r="G62" s="33"/>
      <c r="H62" s="46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2"/>
      <c r="B63" s="53" t="s">
        <v>32</v>
      </c>
      <c r="C63" s="48"/>
      <c r="D63" s="48"/>
      <c r="E63" s="53">
        <v>81.6</v>
      </c>
      <c r="F63" s="48"/>
      <c r="G63" s="48"/>
      <c r="H63" s="49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54" t="s">
        <v>33</v>
      </c>
      <c r="B64" s="33"/>
      <c r="C64" s="33"/>
      <c r="D64" s="33"/>
      <c r="E64" s="33"/>
      <c r="F64" s="33"/>
      <c r="G64" s="33"/>
      <c r="H64" s="46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55"/>
      <c r="B65" s="33"/>
      <c r="C65" s="33"/>
      <c r="D65" s="33"/>
      <c r="E65" s="33"/>
      <c r="F65" s="33"/>
      <c r="G65" s="33"/>
      <c r="H65" s="46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55"/>
      <c r="B66" s="33"/>
      <c r="C66" s="33"/>
      <c r="D66" s="33"/>
      <c r="E66" s="33"/>
      <c r="F66" s="33"/>
      <c r="G66" s="33"/>
      <c r="H66" s="46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56"/>
      <c r="B67" s="48"/>
      <c r="C67" s="48"/>
      <c r="D67" s="48"/>
      <c r="E67" s="48"/>
      <c r="F67" s="48"/>
      <c r="G67" s="48"/>
      <c r="H67" s="49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33"/>
      <c r="B68" s="33"/>
      <c r="C68" s="33"/>
      <c r="D68" s="33"/>
      <c r="E68" s="33"/>
      <c r="F68" s="33"/>
      <c r="G68" s="33"/>
      <c r="H68" s="33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40" t="s">
        <v>332</v>
      </c>
      <c r="B69" s="33"/>
      <c r="C69" s="33"/>
      <c r="D69" s="33"/>
      <c r="E69" s="33"/>
      <c r="F69" s="33"/>
      <c r="G69" s="33"/>
      <c r="H69" s="33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35" t="s">
        <v>1</v>
      </c>
      <c r="B70" s="36" t="s">
        <v>2</v>
      </c>
      <c r="C70" s="36" t="s">
        <v>3</v>
      </c>
      <c r="D70" s="36" t="s">
        <v>4</v>
      </c>
      <c r="E70" s="36" t="s">
        <v>5</v>
      </c>
      <c r="F70" s="36" t="s">
        <v>6</v>
      </c>
      <c r="G70" s="36" t="s">
        <v>7</v>
      </c>
      <c r="H70" s="37" t="s">
        <v>8</v>
      </c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6"/>
      <c r="B71" s="75">
        <v>39400.0</v>
      </c>
      <c r="C71" s="40" t="s">
        <v>333</v>
      </c>
      <c r="D71" s="40" t="s">
        <v>334</v>
      </c>
      <c r="E71" s="40" t="s">
        <v>261</v>
      </c>
      <c r="F71" s="40" t="s">
        <v>262</v>
      </c>
      <c r="G71" s="40" t="s">
        <v>335</v>
      </c>
      <c r="H71" s="51" t="s">
        <v>336</v>
      </c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2"/>
      <c r="B72" s="41" t="s">
        <v>13</v>
      </c>
      <c r="C72" s="42" t="s">
        <v>337</v>
      </c>
      <c r="D72" s="41"/>
      <c r="E72" s="41"/>
      <c r="F72" s="43"/>
      <c r="G72" s="43"/>
      <c r="H72" s="4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45" t="s">
        <v>14</v>
      </c>
      <c r="B73" s="40" t="s">
        <v>15</v>
      </c>
      <c r="C73" s="40" t="s">
        <v>16</v>
      </c>
      <c r="D73" s="40" t="s">
        <v>17</v>
      </c>
      <c r="E73" s="40" t="s">
        <v>18</v>
      </c>
      <c r="F73" s="40" t="s">
        <v>19</v>
      </c>
      <c r="G73" s="40" t="s">
        <v>20</v>
      </c>
      <c r="H73" s="46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2"/>
      <c r="B74" s="47">
        <v>100.0</v>
      </c>
      <c r="C74" s="53">
        <v>103.0</v>
      </c>
      <c r="D74" s="53">
        <v>106.0</v>
      </c>
      <c r="E74" s="53">
        <v>109.0</v>
      </c>
      <c r="F74" s="48"/>
      <c r="G74" s="48"/>
      <c r="H74" s="49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5" t="s">
        <v>21</v>
      </c>
      <c r="B75" s="40" t="s">
        <v>22</v>
      </c>
      <c r="C75" s="40" t="s">
        <v>23</v>
      </c>
      <c r="D75" s="40" t="s">
        <v>24</v>
      </c>
      <c r="E75" s="40" t="s">
        <v>25</v>
      </c>
      <c r="F75" s="40" t="s">
        <v>26</v>
      </c>
      <c r="G75" s="40" t="s">
        <v>27</v>
      </c>
      <c r="H75" s="46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12"/>
      <c r="B76" s="40" t="s">
        <v>338</v>
      </c>
      <c r="C76" s="53" t="s">
        <v>267</v>
      </c>
      <c r="D76" s="53" t="s">
        <v>267</v>
      </c>
      <c r="E76" s="48"/>
      <c r="F76" s="48"/>
      <c r="G76" s="48"/>
      <c r="H76" s="49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ht="36.0" customHeight="1">
      <c r="A77" s="45" t="s">
        <v>28</v>
      </c>
      <c r="B77" s="121"/>
      <c r="C77" s="40" t="s">
        <v>15</v>
      </c>
      <c r="D77" s="40" t="s">
        <v>16</v>
      </c>
      <c r="E77" s="40" t="s">
        <v>17</v>
      </c>
      <c r="F77" s="40" t="s">
        <v>18</v>
      </c>
      <c r="G77" s="40" t="s">
        <v>19</v>
      </c>
      <c r="H77" s="51" t="s">
        <v>20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6"/>
      <c r="B78" s="40" t="s">
        <v>30</v>
      </c>
      <c r="C78" s="52">
        <v>76.0</v>
      </c>
      <c r="D78" s="40">
        <v>92.15</v>
      </c>
      <c r="E78" s="40">
        <v>95.74</v>
      </c>
      <c r="F78" s="40">
        <v>93.75</v>
      </c>
      <c r="G78" s="33"/>
      <c r="H78" s="46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6"/>
      <c r="B79" s="40" t="s">
        <v>31</v>
      </c>
      <c r="C79" s="52">
        <v>89.36</v>
      </c>
      <c r="D79" s="40">
        <v>95.83</v>
      </c>
      <c r="E79" s="40">
        <v>100.0</v>
      </c>
      <c r="F79" s="40">
        <v>96.0</v>
      </c>
      <c r="G79" s="33"/>
      <c r="H79" s="46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2"/>
      <c r="B80" s="53" t="s">
        <v>32</v>
      </c>
      <c r="C80" s="48"/>
      <c r="D80" s="48"/>
      <c r="E80" s="53">
        <v>97.8</v>
      </c>
      <c r="F80" s="48"/>
      <c r="G80" s="48"/>
      <c r="H80" s="49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54" t="s">
        <v>33</v>
      </c>
      <c r="B81" s="33"/>
      <c r="C81" s="33"/>
      <c r="D81" s="33"/>
      <c r="E81" s="33"/>
      <c r="F81" s="33"/>
      <c r="G81" s="33"/>
      <c r="H81" s="46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55"/>
      <c r="B82" s="33"/>
      <c r="C82" s="33"/>
      <c r="D82" s="33"/>
      <c r="E82" s="33"/>
      <c r="F82" s="33"/>
      <c r="G82" s="33"/>
      <c r="H82" s="46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55"/>
      <c r="B83" s="33"/>
      <c r="C83" s="33"/>
      <c r="D83" s="33"/>
      <c r="E83" s="33"/>
      <c r="F83" s="33"/>
      <c r="G83" s="33"/>
      <c r="H83" s="46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55"/>
      <c r="B84" s="33"/>
      <c r="C84" s="33"/>
      <c r="D84" s="33"/>
      <c r="E84" s="33"/>
      <c r="F84" s="33"/>
      <c r="G84" s="33"/>
      <c r="H84" s="4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56"/>
      <c r="B85" s="48"/>
      <c r="C85" s="48"/>
      <c r="D85" s="48"/>
      <c r="E85" s="48"/>
      <c r="F85" s="48"/>
      <c r="G85" s="48"/>
      <c r="H85" s="49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40" t="s">
        <v>339</v>
      </c>
      <c r="B88" s="33"/>
      <c r="C88" s="33"/>
      <c r="D88" s="33"/>
      <c r="E88" s="33"/>
      <c r="F88" s="33"/>
      <c r="G88" s="33"/>
      <c r="H88" s="33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22" t="s">
        <v>1</v>
      </c>
      <c r="B89" s="123" t="s">
        <v>2</v>
      </c>
      <c r="C89" s="123" t="s">
        <v>3</v>
      </c>
      <c r="D89" s="123" t="s">
        <v>4</v>
      </c>
      <c r="E89" s="123" t="s">
        <v>5</v>
      </c>
      <c r="F89" s="123" t="s">
        <v>6</v>
      </c>
      <c r="G89" s="123" t="s">
        <v>7</v>
      </c>
      <c r="H89" s="124" t="s">
        <v>8</v>
      </c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6"/>
      <c r="B90" s="125">
        <v>39496.0</v>
      </c>
      <c r="C90" s="126" t="s">
        <v>340</v>
      </c>
      <c r="D90" s="126" t="s">
        <v>119</v>
      </c>
      <c r="E90" s="126" t="s">
        <v>341</v>
      </c>
      <c r="F90" s="127" t="s">
        <v>342</v>
      </c>
      <c r="G90" s="128" t="s">
        <v>343</v>
      </c>
      <c r="H90" s="129" t="s">
        <v>344</v>
      </c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2"/>
      <c r="B91" s="130" t="s">
        <v>13</v>
      </c>
      <c r="C91" s="130" t="s">
        <v>345</v>
      </c>
      <c r="D91" s="130"/>
      <c r="E91" s="130"/>
      <c r="F91" s="131"/>
      <c r="G91" s="131"/>
      <c r="H91" s="132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33" t="s">
        <v>14</v>
      </c>
      <c r="B92" s="134" t="s">
        <v>15</v>
      </c>
      <c r="C92" s="134" t="s">
        <v>16</v>
      </c>
      <c r="D92" s="134" t="s">
        <v>17</v>
      </c>
      <c r="E92" s="134" t="s">
        <v>18</v>
      </c>
      <c r="F92" s="134" t="s">
        <v>19</v>
      </c>
      <c r="G92" s="134" t="s">
        <v>20</v>
      </c>
      <c r="H92" s="135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2"/>
      <c r="B93" s="136">
        <v>100.0</v>
      </c>
      <c r="C93" s="137">
        <v>103.0</v>
      </c>
      <c r="D93" s="137">
        <v>106.0</v>
      </c>
      <c r="E93" s="137">
        <v>109.0</v>
      </c>
      <c r="F93" s="138"/>
      <c r="G93" s="138"/>
      <c r="H93" s="139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33" t="s">
        <v>21</v>
      </c>
      <c r="B94" s="134" t="s">
        <v>22</v>
      </c>
      <c r="C94" s="134" t="s">
        <v>23</v>
      </c>
      <c r="D94" s="134" t="s">
        <v>24</v>
      </c>
      <c r="E94" s="134" t="s">
        <v>25</v>
      </c>
      <c r="F94" s="134" t="s">
        <v>26</v>
      </c>
      <c r="G94" s="134" t="s">
        <v>27</v>
      </c>
      <c r="H94" s="135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2"/>
      <c r="B95" s="134"/>
      <c r="C95" s="134" t="s">
        <v>346</v>
      </c>
      <c r="D95" s="137" t="s">
        <v>346</v>
      </c>
      <c r="E95" s="138"/>
      <c r="F95" s="138"/>
      <c r="G95" s="138"/>
      <c r="H95" s="139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45" t="s">
        <v>28</v>
      </c>
      <c r="B96" s="121"/>
      <c r="C96" s="36" t="s">
        <v>15</v>
      </c>
      <c r="D96" s="40" t="s">
        <v>16</v>
      </c>
      <c r="E96" s="40" t="s">
        <v>17</v>
      </c>
      <c r="F96" s="40" t="s">
        <v>18</v>
      </c>
      <c r="G96" s="40" t="s">
        <v>19</v>
      </c>
      <c r="H96" s="51" t="s">
        <v>20</v>
      </c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6"/>
      <c r="B97" s="40" t="s">
        <v>30</v>
      </c>
      <c r="C97" s="52">
        <v>76.0</v>
      </c>
      <c r="D97" s="40">
        <v>92.15</v>
      </c>
      <c r="E97" s="40">
        <v>95.74</v>
      </c>
      <c r="F97" s="40">
        <v>87.88</v>
      </c>
      <c r="G97" s="33"/>
      <c r="H97" s="46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6"/>
      <c r="B98" s="40" t="s">
        <v>31</v>
      </c>
      <c r="C98" s="52">
        <v>89.36</v>
      </c>
      <c r="D98" s="40">
        <v>95.83</v>
      </c>
      <c r="E98" s="40">
        <v>100.0</v>
      </c>
      <c r="F98" s="52" t="s">
        <v>347</v>
      </c>
      <c r="G98" s="33"/>
      <c r="H98" s="46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12"/>
      <c r="B99" s="53" t="s">
        <v>32</v>
      </c>
      <c r="C99" s="48"/>
      <c r="D99" s="48"/>
      <c r="E99" s="53">
        <v>49.0</v>
      </c>
      <c r="F99" s="48"/>
      <c r="G99" s="48"/>
      <c r="H99" s="49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54" t="s">
        <v>33</v>
      </c>
      <c r="B100" s="33"/>
      <c r="C100" s="33"/>
      <c r="D100" s="33"/>
      <c r="E100" s="33"/>
      <c r="F100" s="40" t="s">
        <v>348</v>
      </c>
      <c r="G100" s="33"/>
      <c r="H100" s="46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55"/>
      <c r="B101" s="33"/>
      <c r="C101" s="33"/>
      <c r="D101" s="33"/>
      <c r="E101" s="33"/>
      <c r="F101" s="33"/>
      <c r="G101" s="33"/>
      <c r="H101" s="46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55"/>
      <c r="B102" s="33"/>
      <c r="C102" s="33"/>
      <c r="D102" s="33"/>
      <c r="E102" s="33"/>
      <c r="F102" s="33"/>
      <c r="G102" s="33"/>
      <c r="H102" s="46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55"/>
      <c r="B103" s="33"/>
      <c r="C103" s="33"/>
      <c r="D103" s="33"/>
      <c r="E103" s="33"/>
      <c r="F103" s="33"/>
      <c r="G103" s="33"/>
      <c r="H103" s="46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56"/>
      <c r="B104" s="48"/>
      <c r="C104" s="48"/>
      <c r="D104" s="48"/>
      <c r="E104" s="48"/>
      <c r="F104" s="48"/>
      <c r="G104" s="48"/>
      <c r="H104" s="49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</sheetData>
  <mergeCells count="27">
    <mergeCell ref="A2:A4"/>
    <mergeCell ref="C4:E4"/>
    <mergeCell ref="A5:A6"/>
    <mergeCell ref="A7:A8"/>
    <mergeCell ref="A9:A12"/>
    <mergeCell ref="A19:A21"/>
    <mergeCell ref="C21:E21"/>
    <mergeCell ref="A22:A23"/>
    <mergeCell ref="A24:A25"/>
    <mergeCell ref="A26:A29"/>
    <mergeCell ref="A36:A38"/>
    <mergeCell ref="C38:E38"/>
    <mergeCell ref="A39:A40"/>
    <mergeCell ref="A41:A42"/>
    <mergeCell ref="A75:A76"/>
    <mergeCell ref="A77:A80"/>
    <mergeCell ref="A89:A91"/>
    <mergeCell ref="A92:A93"/>
    <mergeCell ref="A94:A95"/>
    <mergeCell ref="A96:A99"/>
    <mergeCell ref="A43:A46"/>
    <mergeCell ref="A53:A55"/>
    <mergeCell ref="A56:A57"/>
    <mergeCell ref="A58:A59"/>
    <mergeCell ref="A60:A63"/>
    <mergeCell ref="A70:A72"/>
    <mergeCell ref="A73:A74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13.56"/>
  </cols>
  <sheetData>
    <row r="1">
      <c r="A1" s="99" t="s">
        <v>349</v>
      </c>
      <c r="B1" s="43"/>
      <c r="C1" s="43"/>
      <c r="D1" s="43"/>
      <c r="E1" s="43"/>
      <c r="F1" s="43"/>
      <c r="G1" s="43"/>
      <c r="H1" s="48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51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33.0" customHeight="1">
      <c r="A3" s="6"/>
      <c r="B3" s="90">
        <v>39016.0</v>
      </c>
      <c r="C3" s="40" t="s">
        <v>350</v>
      </c>
      <c r="D3" s="140" t="s">
        <v>350</v>
      </c>
      <c r="E3" s="40" t="s">
        <v>351</v>
      </c>
      <c r="F3" s="40" t="s">
        <v>352</v>
      </c>
      <c r="G3" s="40" t="s">
        <v>353</v>
      </c>
      <c r="H3" s="141" t="s">
        <v>354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355</v>
      </c>
      <c r="D4" s="73"/>
      <c r="E4" s="73"/>
      <c r="F4" s="43"/>
      <c r="G4" s="41" t="s">
        <v>356</v>
      </c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3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>
        <v>99.0</v>
      </c>
      <c r="C6" s="53">
        <v>102.0</v>
      </c>
      <c r="D6" s="142">
        <v>105.0</v>
      </c>
      <c r="E6" s="53">
        <v>108.0</v>
      </c>
      <c r="F6" s="48"/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3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 t="s">
        <v>357</v>
      </c>
      <c r="C8" s="53" t="s">
        <v>110</v>
      </c>
      <c r="D8" s="53" t="s">
        <v>346</v>
      </c>
      <c r="E8" s="53" t="s">
        <v>358</v>
      </c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3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33"/>
      <c r="D10" s="33"/>
      <c r="E10" s="40">
        <v>100.0</v>
      </c>
      <c r="F10" s="143">
        <v>0.885</v>
      </c>
      <c r="G10" s="143">
        <v>0.9778</v>
      </c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52">
        <v>86.0</v>
      </c>
      <c r="D11" s="33"/>
      <c r="E11" s="40">
        <v>97.87</v>
      </c>
      <c r="F11" s="143">
        <v>0.9565</v>
      </c>
      <c r="G11" s="33"/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47">
        <v>87.23</v>
      </c>
      <c r="D12" s="48"/>
      <c r="E12" s="53">
        <v>98.0</v>
      </c>
      <c r="F12" s="47" t="s">
        <v>359</v>
      </c>
      <c r="G12" s="48"/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B13" s="33"/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6"/>
      <c r="B17" s="48"/>
      <c r="C17" s="48"/>
      <c r="D17" s="48"/>
      <c r="E17" s="48"/>
      <c r="F17" s="48"/>
      <c r="G17" s="48"/>
      <c r="H17" s="4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A18" s="33"/>
      <c r="B18" s="33"/>
      <c r="C18" s="33"/>
      <c r="D18" s="33"/>
      <c r="E18" s="33"/>
      <c r="F18" s="33"/>
      <c r="G18" s="33"/>
      <c r="H18" s="33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0" t="s">
        <v>360</v>
      </c>
      <c r="B19" s="33"/>
      <c r="C19" s="33"/>
      <c r="D19" s="33"/>
      <c r="E19" s="33"/>
      <c r="F19" s="33"/>
      <c r="G19" s="33"/>
      <c r="H19" s="33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5" t="s">
        <v>1</v>
      </c>
      <c r="B20" s="36" t="s">
        <v>2</v>
      </c>
      <c r="C20" s="36" t="s">
        <v>3</v>
      </c>
      <c r="D20" s="36" t="s">
        <v>4</v>
      </c>
      <c r="E20" s="36" t="s">
        <v>5</v>
      </c>
      <c r="F20" s="36" t="s">
        <v>6</v>
      </c>
      <c r="G20" s="36" t="s">
        <v>7</v>
      </c>
      <c r="H20" s="37" t="s">
        <v>8</v>
      </c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6"/>
      <c r="B21" s="90">
        <v>39147.0</v>
      </c>
      <c r="C21" s="33"/>
      <c r="D21" s="33"/>
      <c r="E21" s="40" t="s">
        <v>361</v>
      </c>
      <c r="F21" s="40" t="s">
        <v>362</v>
      </c>
      <c r="G21" s="40" t="s">
        <v>363</v>
      </c>
      <c r="H21" s="141" t="s">
        <v>364</v>
      </c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2"/>
      <c r="B22" s="41" t="s">
        <v>13</v>
      </c>
      <c r="C22" s="41" t="s">
        <v>365</v>
      </c>
      <c r="D22" s="73"/>
      <c r="E22" s="73"/>
      <c r="F22" s="43"/>
      <c r="G22" s="43"/>
      <c r="H22" s="4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35" t="s">
        <v>14</v>
      </c>
      <c r="B23" s="40" t="s">
        <v>15</v>
      </c>
      <c r="C23" s="40" t="s">
        <v>16</v>
      </c>
      <c r="D23" s="40" t="s">
        <v>17</v>
      </c>
      <c r="E23" s="40" t="s">
        <v>18</v>
      </c>
      <c r="F23" s="40" t="s">
        <v>19</v>
      </c>
      <c r="G23" s="40" t="s">
        <v>20</v>
      </c>
      <c r="H23" s="46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2"/>
      <c r="B24" s="47">
        <v>99.0</v>
      </c>
      <c r="C24" s="53">
        <v>102.0</v>
      </c>
      <c r="D24" s="142">
        <v>105.0</v>
      </c>
      <c r="E24" s="53">
        <v>108.0</v>
      </c>
      <c r="F24" s="48"/>
      <c r="G24" s="48"/>
      <c r="H24" s="49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35" t="s">
        <v>21</v>
      </c>
      <c r="B25" s="40" t="s">
        <v>22</v>
      </c>
      <c r="C25" s="40" t="s">
        <v>23</v>
      </c>
      <c r="D25" s="40" t="s">
        <v>24</v>
      </c>
      <c r="E25" s="40" t="s">
        <v>25</v>
      </c>
      <c r="F25" s="40" t="s">
        <v>26</v>
      </c>
      <c r="G25" s="40" t="s">
        <v>27</v>
      </c>
      <c r="H25" s="46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12"/>
      <c r="B26" s="53" t="s">
        <v>357</v>
      </c>
      <c r="C26" s="53" t="s">
        <v>307</v>
      </c>
      <c r="D26" s="53" t="s">
        <v>366</v>
      </c>
      <c r="E26" s="53" t="s">
        <v>367</v>
      </c>
      <c r="F26" s="48"/>
      <c r="G26" s="48"/>
      <c r="H26" s="49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35" t="s">
        <v>28</v>
      </c>
      <c r="B27" s="33"/>
      <c r="C27" s="40" t="s">
        <v>15</v>
      </c>
      <c r="D27" s="40" t="s">
        <v>16</v>
      </c>
      <c r="E27" s="40" t="s">
        <v>17</v>
      </c>
      <c r="F27" s="40" t="s">
        <v>18</v>
      </c>
      <c r="G27" s="40" t="s">
        <v>19</v>
      </c>
      <c r="H27" s="51" t="s">
        <v>20</v>
      </c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6"/>
      <c r="B28" s="40" t="s">
        <v>30</v>
      </c>
      <c r="C28" s="33"/>
      <c r="D28" s="33"/>
      <c r="E28" s="40">
        <v>61.5</v>
      </c>
      <c r="F28" s="143">
        <v>0.782</v>
      </c>
      <c r="G28" s="33"/>
      <c r="H28" s="46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6"/>
      <c r="B29" s="40" t="s">
        <v>31</v>
      </c>
      <c r="C29" s="52">
        <v>22.0</v>
      </c>
      <c r="D29" s="33"/>
      <c r="E29" s="40">
        <v>61.7</v>
      </c>
      <c r="F29" s="143">
        <v>0.913</v>
      </c>
      <c r="G29" s="33"/>
      <c r="H29" s="46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12"/>
      <c r="B30" s="53" t="s">
        <v>32</v>
      </c>
      <c r="C30" s="47">
        <v>40.42</v>
      </c>
      <c r="D30" s="48"/>
      <c r="E30" s="53">
        <v>96.0</v>
      </c>
      <c r="F30" s="144">
        <v>0.92</v>
      </c>
      <c r="G30" s="48"/>
      <c r="H30" s="49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54" t="s">
        <v>33</v>
      </c>
      <c r="B31" s="33"/>
      <c r="C31" s="33"/>
      <c r="D31" s="33"/>
      <c r="E31" s="33"/>
      <c r="F31" s="33"/>
      <c r="G31" s="33"/>
      <c r="H31" s="46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55"/>
      <c r="B32" s="33"/>
      <c r="C32" s="33"/>
      <c r="D32" s="33"/>
      <c r="E32" s="33"/>
      <c r="F32" s="33"/>
      <c r="G32" s="33"/>
      <c r="H32" s="46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5"/>
      <c r="B33" s="33"/>
      <c r="C33" s="33"/>
      <c r="D33" s="33"/>
      <c r="E33" s="33"/>
      <c r="F33" s="33"/>
      <c r="G33" s="33"/>
      <c r="H33" s="46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5"/>
      <c r="B34" s="33"/>
      <c r="C34" s="33"/>
      <c r="D34" s="33"/>
      <c r="E34" s="33"/>
      <c r="F34" s="33"/>
      <c r="G34" s="33"/>
      <c r="H34" s="46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6"/>
      <c r="B35" s="48"/>
      <c r="C35" s="48"/>
      <c r="D35" s="48"/>
      <c r="E35" s="48"/>
      <c r="F35" s="48"/>
      <c r="G35" s="48"/>
      <c r="H35" s="4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3"/>
      <c r="B36" s="33"/>
      <c r="C36" s="33"/>
      <c r="D36" s="33"/>
      <c r="E36" s="33"/>
      <c r="F36" s="33"/>
      <c r="G36" s="33"/>
      <c r="H36" s="33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3"/>
      <c r="B37" s="33"/>
      <c r="C37" s="33"/>
      <c r="D37" s="33"/>
      <c r="E37" s="33"/>
      <c r="F37" s="33"/>
      <c r="G37" s="33"/>
      <c r="H37" s="33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40" t="s">
        <v>368</v>
      </c>
      <c r="B38" s="33"/>
      <c r="C38" s="33"/>
      <c r="D38" s="33"/>
      <c r="E38" s="33"/>
      <c r="F38" s="33"/>
      <c r="G38" s="33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5" t="s">
        <v>1</v>
      </c>
      <c r="B39" s="36" t="s">
        <v>2</v>
      </c>
      <c r="C39" s="36" t="s">
        <v>3</v>
      </c>
      <c r="D39" s="36" t="s">
        <v>4</v>
      </c>
      <c r="E39" s="36" t="s">
        <v>5</v>
      </c>
      <c r="F39" s="36" t="s">
        <v>6</v>
      </c>
      <c r="G39" s="36" t="s">
        <v>7</v>
      </c>
      <c r="H39" s="37" t="s">
        <v>8</v>
      </c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ht="18.0" customHeight="1">
      <c r="A40" s="6"/>
      <c r="B40" s="145">
        <v>39302.0</v>
      </c>
      <c r="C40" s="90">
        <v>40090.0</v>
      </c>
      <c r="D40" s="90">
        <v>43765.0</v>
      </c>
      <c r="E40" s="40" t="s">
        <v>369</v>
      </c>
      <c r="F40" s="40" t="s">
        <v>370</v>
      </c>
      <c r="G40" s="40" t="s">
        <v>371</v>
      </c>
      <c r="H40" s="51" t="s">
        <v>372</v>
      </c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12"/>
      <c r="B41" s="41" t="s">
        <v>13</v>
      </c>
      <c r="C41" s="41" t="s">
        <v>373</v>
      </c>
      <c r="D41" s="73"/>
      <c r="E41" s="73"/>
      <c r="F41" s="73"/>
      <c r="G41" s="73"/>
      <c r="H41" s="4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35" t="s">
        <v>14</v>
      </c>
      <c r="B42" s="40" t="s">
        <v>15</v>
      </c>
      <c r="C42" s="40" t="s">
        <v>16</v>
      </c>
      <c r="D42" s="40" t="s">
        <v>17</v>
      </c>
      <c r="E42" s="40" t="s">
        <v>18</v>
      </c>
      <c r="F42" s="40" t="s">
        <v>19</v>
      </c>
      <c r="G42" s="40" t="s">
        <v>20</v>
      </c>
      <c r="H42" s="46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12"/>
      <c r="B43" s="47">
        <v>100.0</v>
      </c>
      <c r="C43" s="53">
        <v>102.0</v>
      </c>
      <c r="D43" s="142">
        <v>105.0</v>
      </c>
      <c r="E43" s="53">
        <v>108.0</v>
      </c>
      <c r="F43" s="53">
        <v>111.0</v>
      </c>
      <c r="G43" s="48"/>
      <c r="H43" s="49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35" t="s">
        <v>21</v>
      </c>
      <c r="B44" s="40" t="s">
        <v>22</v>
      </c>
      <c r="C44" s="40" t="s">
        <v>23</v>
      </c>
      <c r="D44" s="40" t="s">
        <v>24</v>
      </c>
      <c r="E44" s="40" t="s">
        <v>25</v>
      </c>
      <c r="F44" s="40" t="s">
        <v>26</v>
      </c>
      <c r="G44" s="40" t="s">
        <v>27</v>
      </c>
      <c r="H44" s="46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12"/>
      <c r="B45" s="48"/>
      <c r="C45" s="53" t="s">
        <v>374</v>
      </c>
      <c r="D45" s="53" t="s">
        <v>375</v>
      </c>
      <c r="E45" s="53" t="s">
        <v>376</v>
      </c>
      <c r="F45" s="48"/>
      <c r="G45" s="48"/>
      <c r="H45" s="49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35" t="s">
        <v>28</v>
      </c>
      <c r="B46" s="33"/>
      <c r="C46" s="40" t="s">
        <v>15</v>
      </c>
      <c r="D46" s="40" t="s">
        <v>16</v>
      </c>
      <c r="E46" s="40" t="s">
        <v>17</v>
      </c>
      <c r="F46" s="40" t="s">
        <v>18</v>
      </c>
      <c r="G46" s="40" t="s">
        <v>19</v>
      </c>
      <c r="H46" s="51" t="s">
        <v>20</v>
      </c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6"/>
      <c r="B47" s="40" t="s">
        <v>30</v>
      </c>
      <c r="C47" s="52">
        <v>62.0</v>
      </c>
      <c r="D47" s="33"/>
      <c r="E47" s="40">
        <v>82.7</v>
      </c>
      <c r="F47" s="143">
        <v>0.859</v>
      </c>
      <c r="G47" s="143">
        <v>0.8778</v>
      </c>
      <c r="H47" s="46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6"/>
      <c r="B48" s="40" t="s">
        <v>31</v>
      </c>
      <c r="C48" s="52">
        <v>74.47</v>
      </c>
      <c r="D48" s="33"/>
      <c r="E48" s="40">
        <v>89.36</v>
      </c>
      <c r="F48" s="146">
        <v>0.75</v>
      </c>
      <c r="G48" s="33"/>
      <c r="H48" s="46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12"/>
      <c r="B49" s="53" t="s">
        <v>32</v>
      </c>
      <c r="C49" s="48"/>
      <c r="D49" s="48"/>
      <c r="E49" s="53">
        <v>84.0</v>
      </c>
      <c r="F49" s="144">
        <v>0.9</v>
      </c>
      <c r="G49" s="48"/>
      <c r="H49" s="49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54" t="s">
        <v>33</v>
      </c>
      <c r="B50" s="33"/>
      <c r="C50" s="33"/>
      <c r="D50" s="33"/>
      <c r="E50" s="33"/>
      <c r="F50" s="33"/>
      <c r="G50" s="33"/>
      <c r="H50" s="46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55"/>
      <c r="B51" s="33"/>
      <c r="C51" s="33"/>
      <c r="D51" s="33"/>
      <c r="E51" s="33"/>
      <c r="F51" s="33"/>
      <c r="G51" s="33"/>
      <c r="H51" s="46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55"/>
      <c r="B52" s="33"/>
      <c r="C52" s="33"/>
      <c r="D52" s="33"/>
      <c r="E52" s="33"/>
      <c r="F52" s="33"/>
      <c r="G52" s="33"/>
      <c r="H52" s="46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55"/>
      <c r="B53" s="33"/>
      <c r="C53" s="33"/>
      <c r="D53" s="33"/>
      <c r="E53" s="33"/>
      <c r="F53" s="33"/>
      <c r="G53" s="33"/>
      <c r="H53" s="46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56"/>
      <c r="B54" s="48"/>
      <c r="C54" s="48"/>
      <c r="D54" s="48"/>
      <c r="E54" s="48"/>
      <c r="F54" s="48"/>
      <c r="G54" s="48"/>
      <c r="H54" s="49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40"/>
      <c r="B55" s="33"/>
      <c r="C55" s="33"/>
      <c r="D55" s="33"/>
      <c r="E55" s="33"/>
      <c r="F55" s="33"/>
      <c r="G55" s="33"/>
      <c r="H55" s="33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40" t="s">
        <v>377</v>
      </c>
      <c r="B56" s="33"/>
      <c r="C56" s="33"/>
      <c r="D56" s="33"/>
      <c r="E56" s="33"/>
      <c r="F56" s="33"/>
      <c r="G56" s="33"/>
      <c r="H56" s="33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5" t="s">
        <v>1</v>
      </c>
      <c r="B57" s="36" t="s">
        <v>2</v>
      </c>
      <c r="C57" s="36" t="s">
        <v>3</v>
      </c>
      <c r="D57" s="36" t="s">
        <v>4</v>
      </c>
      <c r="E57" s="36" t="s">
        <v>5</v>
      </c>
      <c r="F57" s="36" t="s">
        <v>6</v>
      </c>
      <c r="G57" s="36" t="s">
        <v>7</v>
      </c>
      <c r="H57" s="37" t="s">
        <v>8</v>
      </c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6"/>
      <c r="B58" s="145">
        <v>39030.0</v>
      </c>
      <c r="C58" s="40" t="s">
        <v>350</v>
      </c>
      <c r="D58" s="33"/>
      <c r="E58" s="40" t="s">
        <v>378</v>
      </c>
      <c r="F58" s="40" t="s">
        <v>379</v>
      </c>
      <c r="G58" s="40"/>
      <c r="H58" s="141" t="s">
        <v>380</v>
      </c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ht="30.0" customHeight="1">
      <c r="A59" s="12"/>
      <c r="B59" s="41" t="s">
        <v>13</v>
      </c>
      <c r="C59" s="41" t="s">
        <v>381</v>
      </c>
      <c r="D59" s="73"/>
      <c r="E59" s="73"/>
      <c r="F59" s="73"/>
      <c r="G59" s="73"/>
      <c r="H59" s="4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5" t="s">
        <v>14</v>
      </c>
      <c r="B60" s="40" t="s">
        <v>15</v>
      </c>
      <c r="C60" s="40" t="s">
        <v>16</v>
      </c>
      <c r="D60" s="40" t="s">
        <v>17</v>
      </c>
      <c r="E60" s="40" t="s">
        <v>18</v>
      </c>
      <c r="F60" s="40" t="s">
        <v>19</v>
      </c>
      <c r="G60" s="40" t="s">
        <v>20</v>
      </c>
      <c r="H60" s="46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2"/>
      <c r="B61" s="47"/>
      <c r="C61" s="48"/>
      <c r="D61" s="142">
        <v>105.0</v>
      </c>
      <c r="E61" s="53">
        <v>108.0</v>
      </c>
      <c r="F61" s="53"/>
      <c r="G61" s="48"/>
      <c r="H61" s="49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35" t="s">
        <v>21</v>
      </c>
      <c r="B62" s="40" t="s">
        <v>22</v>
      </c>
      <c r="C62" s="40" t="s">
        <v>23</v>
      </c>
      <c r="D62" s="40" t="s">
        <v>24</v>
      </c>
      <c r="E62" s="40" t="s">
        <v>25</v>
      </c>
      <c r="F62" s="40" t="s">
        <v>26</v>
      </c>
      <c r="G62" s="40" t="s">
        <v>27</v>
      </c>
      <c r="H62" s="46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2"/>
      <c r="B63" s="48"/>
      <c r="C63" s="53"/>
      <c r="D63" s="53" t="s">
        <v>382</v>
      </c>
      <c r="E63" s="48"/>
      <c r="F63" s="48"/>
      <c r="G63" s="48"/>
      <c r="H63" s="49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35" t="s">
        <v>28</v>
      </c>
      <c r="B64" s="33"/>
      <c r="C64" s="40" t="s">
        <v>15</v>
      </c>
      <c r="D64" s="40" t="s">
        <v>16</v>
      </c>
      <c r="E64" s="40" t="s">
        <v>17</v>
      </c>
      <c r="F64" s="40" t="s">
        <v>18</v>
      </c>
      <c r="G64" s="40" t="s">
        <v>19</v>
      </c>
      <c r="H64" s="51" t="s">
        <v>20</v>
      </c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6"/>
      <c r="B65" s="40" t="s">
        <v>30</v>
      </c>
      <c r="C65" s="52"/>
      <c r="D65" s="33"/>
      <c r="E65" s="143">
        <v>0.903</v>
      </c>
      <c r="F65" s="143">
        <v>0.875</v>
      </c>
      <c r="G65" s="33"/>
      <c r="H65" s="46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6"/>
      <c r="B66" s="40" t="s">
        <v>31</v>
      </c>
      <c r="C66" s="52"/>
      <c r="D66" s="33"/>
      <c r="E66" s="40">
        <v>89.36</v>
      </c>
      <c r="F66" s="52" t="s">
        <v>383</v>
      </c>
      <c r="G66" s="33"/>
      <c r="H66" s="46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2"/>
      <c r="B67" s="53" t="s">
        <v>32</v>
      </c>
      <c r="C67" s="48"/>
      <c r="D67" s="48"/>
      <c r="E67" s="53">
        <v>78.0</v>
      </c>
      <c r="F67" s="48"/>
      <c r="G67" s="48"/>
      <c r="H67" s="49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54" t="s">
        <v>33</v>
      </c>
      <c r="B68" s="33"/>
      <c r="C68" s="33"/>
      <c r="D68" s="33"/>
      <c r="E68" s="33"/>
      <c r="F68" s="40" t="s">
        <v>384</v>
      </c>
      <c r="G68" s="33"/>
      <c r="H68" s="46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55"/>
      <c r="B69" s="33"/>
      <c r="C69" s="33"/>
      <c r="D69" s="33"/>
      <c r="E69" s="33"/>
      <c r="F69" s="40" t="s">
        <v>385</v>
      </c>
      <c r="G69" s="33"/>
      <c r="H69" s="46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55"/>
      <c r="B70" s="33"/>
      <c r="C70" s="33"/>
      <c r="D70" s="33"/>
      <c r="E70" s="33"/>
      <c r="F70" s="33"/>
      <c r="G70" s="33"/>
      <c r="H70" s="46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55"/>
      <c r="B71" s="33"/>
      <c r="C71" s="33"/>
      <c r="D71" s="33"/>
      <c r="E71" s="33"/>
      <c r="F71" s="33"/>
      <c r="G71" s="33"/>
      <c r="H71" s="46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56"/>
      <c r="B72" s="48"/>
      <c r="C72" s="48"/>
      <c r="D72" s="48"/>
      <c r="E72" s="48"/>
      <c r="F72" s="48"/>
      <c r="G72" s="48"/>
      <c r="H72" s="49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33"/>
      <c r="B73" s="33"/>
      <c r="C73" s="33"/>
      <c r="D73" s="33"/>
      <c r="E73" s="33"/>
      <c r="F73" s="33"/>
      <c r="G73" s="33"/>
      <c r="H73" s="33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33"/>
      <c r="B74" s="33"/>
      <c r="C74" s="33"/>
      <c r="D74" s="33"/>
      <c r="E74" s="33"/>
      <c r="F74" s="33"/>
      <c r="G74" s="33"/>
      <c r="H74" s="33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40" t="s">
        <v>386</v>
      </c>
      <c r="B75" s="33"/>
      <c r="C75" s="33"/>
      <c r="D75" s="33"/>
      <c r="E75" s="33"/>
      <c r="F75" s="33"/>
      <c r="G75" s="33"/>
      <c r="H75" s="33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5" t="s">
        <v>1</v>
      </c>
      <c r="B76" s="36" t="s">
        <v>2</v>
      </c>
      <c r="C76" s="36" t="s">
        <v>3</v>
      </c>
      <c r="D76" s="36" t="s">
        <v>4</v>
      </c>
      <c r="E76" s="36" t="s">
        <v>5</v>
      </c>
      <c r="F76" s="36" t="s">
        <v>6</v>
      </c>
      <c r="G76" s="36" t="s">
        <v>7</v>
      </c>
      <c r="H76" s="37" t="s">
        <v>8</v>
      </c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6"/>
      <c r="B77" s="90">
        <v>39121.0</v>
      </c>
      <c r="C77" s="40">
        <v>2001.0</v>
      </c>
      <c r="D77" s="33"/>
      <c r="E77" s="40" t="s">
        <v>387</v>
      </c>
      <c r="F77" s="59" t="s">
        <v>388</v>
      </c>
      <c r="G77" s="40"/>
      <c r="H77" s="141" t="s">
        <v>389</v>
      </c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12"/>
      <c r="B78" s="41" t="s">
        <v>13</v>
      </c>
      <c r="C78" s="41" t="s">
        <v>390</v>
      </c>
      <c r="D78" s="73"/>
      <c r="E78" s="73"/>
      <c r="F78" s="43"/>
      <c r="G78" s="43"/>
      <c r="H78" s="4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45" t="s">
        <v>14</v>
      </c>
      <c r="B79" s="40" t="s">
        <v>15</v>
      </c>
      <c r="C79" s="40" t="s">
        <v>16</v>
      </c>
      <c r="D79" s="40" t="s">
        <v>17</v>
      </c>
      <c r="E79" s="40" t="s">
        <v>18</v>
      </c>
      <c r="F79" s="40" t="s">
        <v>19</v>
      </c>
      <c r="G79" s="40" t="s">
        <v>20</v>
      </c>
      <c r="H79" s="46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2"/>
      <c r="B80" s="47"/>
      <c r="C80" s="48"/>
      <c r="D80" s="53">
        <v>105.0</v>
      </c>
      <c r="E80" s="53">
        <v>108.0</v>
      </c>
      <c r="F80" s="53">
        <v>111.0</v>
      </c>
      <c r="G80" s="48"/>
      <c r="H80" s="49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45" t="s">
        <v>21</v>
      </c>
      <c r="B81" s="40" t="s">
        <v>22</v>
      </c>
      <c r="C81" s="40" t="s">
        <v>23</v>
      </c>
      <c r="D81" s="40" t="s">
        <v>24</v>
      </c>
      <c r="E81" s="40" t="s">
        <v>25</v>
      </c>
      <c r="F81" s="40" t="s">
        <v>26</v>
      </c>
      <c r="G81" s="40" t="s">
        <v>27</v>
      </c>
      <c r="H81" s="46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2"/>
      <c r="B82" s="53"/>
      <c r="C82" s="53"/>
      <c r="D82" s="53" t="s">
        <v>391</v>
      </c>
      <c r="E82" s="48"/>
      <c r="F82" s="48"/>
      <c r="G82" s="48"/>
      <c r="H82" s="49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45" t="s">
        <v>28</v>
      </c>
      <c r="B83" s="33"/>
      <c r="C83" s="40" t="s">
        <v>15</v>
      </c>
      <c r="D83" s="40" t="s">
        <v>16</v>
      </c>
      <c r="E83" s="40" t="s">
        <v>17</v>
      </c>
      <c r="F83" s="40" t="s">
        <v>18</v>
      </c>
      <c r="G83" s="40" t="s">
        <v>19</v>
      </c>
      <c r="H83" s="51" t="s">
        <v>20</v>
      </c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6"/>
      <c r="B84" s="40" t="s">
        <v>30</v>
      </c>
      <c r="C84" s="33"/>
      <c r="D84" s="33"/>
      <c r="E84" s="143">
        <v>0.865</v>
      </c>
      <c r="F84" s="143">
        <v>0.625</v>
      </c>
      <c r="G84" s="33"/>
      <c r="H84" s="4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6"/>
      <c r="B85" s="40" t="s">
        <v>31</v>
      </c>
      <c r="C85" s="33"/>
      <c r="D85" s="33"/>
      <c r="E85" s="40">
        <v>89.36</v>
      </c>
      <c r="F85" s="143">
        <v>0.7576</v>
      </c>
      <c r="G85" s="33"/>
      <c r="H85" s="46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2"/>
      <c r="B86" s="53" t="s">
        <v>32</v>
      </c>
      <c r="C86" s="147"/>
      <c r="D86" s="48"/>
      <c r="E86" s="53">
        <v>88.0</v>
      </c>
      <c r="F86" s="47" t="s">
        <v>359</v>
      </c>
      <c r="G86" s="48"/>
      <c r="H86" s="49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54" t="s">
        <v>33</v>
      </c>
      <c r="B87" s="33"/>
      <c r="C87" s="33"/>
      <c r="D87" s="33"/>
      <c r="E87" s="33"/>
      <c r="F87" s="33"/>
      <c r="G87" s="33"/>
      <c r="H87" s="46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54" t="s">
        <v>392</v>
      </c>
      <c r="B88" s="33"/>
      <c r="C88" s="33"/>
      <c r="D88" s="33"/>
      <c r="E88" s="33"/>
      <c r="F88" s="33"/>
      <c r="G88" s="33"/>
      <c r="H88" s="46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54" t="s">
        <v>393</v>
      </c>
      <c r="B89" s="33"/>
      <c r="C89" s="33"/>
      <c r="D89" s="33"/>
      <c r="E89" s="33"/>
      <c r="F89" s="33"/>
      <c r="G89" s="33"/>
      <c r="H89" s="46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55"/>
      <c r="B90" s="33"/>
      <c r="C90" s="33"/>
      <c r="D90" s="33"/>
      <c r="E90" s="33"/>
      <c r="F90" s="33"/>
      <c r="G90" s="33"/>
      <c r="H90" s="46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56"/>
      <c r="B91" s="48"/>
      <c r="C91" s="48"/>
      <c r="D91" s="48"/>
      <c r="E91" s="48"/>
      <c r="F91" s="48"/>
      <c r="G91" s="48"/>
      <c r="H91" s="49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55"/>
      <c r="B92" s="33"/>
      <c r="C92" s="33"/>
      <c r="D92" s="33"/>
      <c r="E92" s="33"/>
      <c r="F92" s="33"/>
      <c r="G92" s="33"/>
      <c r="H92" s="46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55"/>
      <c r="B93" s="33"/>
      <c r="C93" s="33"/>
      <c r="D93" s="33"/>
      <c r="E93" s="33"/>
      <c r="F93" s="33"/>
      <c r="G93" s="33"/>
      <c r="H93" s="46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55"/>
      <c r="B94" s="33"/>
      <c r="C94" s="33"/>
      <c r="D94" s="33"/>
      <c r="E94" s="33"/>
      <c r="F94" s="33"/>
      <c r="G94" s="33"/>
      <c r="H94" s="46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56"/>
      <c r="B95" s="48"/>
      <c r="C95" s="48"/>
      <c r="D95" s="48"/>
      <c r="E95" s="48"/>
      <c r="F95" s="48"/>
      <c r="G95" s="48"/>
      <c r="H95" s="49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  <row r="1000">
      <c r="A1000" s="34"/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</row>
    <row r="1001">
      <c r="A1001" s="34"/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</row>
  </sheetData>
  <mergeCells count="25">
    <mergeCell ref="A2:A4"/>
    <mergeCell ref="C4:E4"/>
    <mergeCell ref="A5:A6"/>
    <mergeCell ref="A7:A8"/>
    <mergeCell ref="A9:A12"/>
    <mergeCell ref="A20:A22"/>
    <mergeCell ref="C22:E22"/>
    <mergeCell ref="A23:A24"/>
    <mergeCell ref="A25:A26"/>
    <mergeCell ref="A27:A30"/>
    <mergeCell ref="A39:A41"/>
    <mergeCell ref="C41:G41"/>
    <mergeCell ref="A42:A43"/>
    <mergeCell ref="A44:A45"/>
    <mergeCell ref="A76:A78"/>
    <mergeCell ref="A79:A80"/>
    <mergeCell ref="A81:A82"/>
    <mergeCell ref="A83:A86"/>
    <mergeCell ref="A46:A49"/>
    <mergeCell ref="A57:A59"/>
    <mergeCell ref="C59:G59"/>
    <mergeCell ref="A60:A61"/>
    <mergeCell ref="A62:A63"/>
    <mergeCell ref="A64:A67"/>
    <mergeCell ref="C78:E7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13.89"/>
  </cols>
  <sheetData>
    <row r="1">
      <c r="A1" s="40" t="s">
        <v>394</v>
      </c>
      <c r="B1" s="33"/>
      <c r="C1" s="33"/>
      <c r="D1" s="33"/>
      <c r="E1" s="33"/>
      <c r="F1" s="33"/>
      <c r="G1" s="33"/>
      <c r="H1" s="33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35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</v>
      </c>
      <c r="G2" s="36" t="s">
        <v>7</v>
      </c>
      <c r="H2" s="37" t="s">
        <v>8</v>
      </c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90">
        <v>38701.0</v>
      </c>
      <c r="C3" s="40">
        <v>2012.0</v>
      </c>
      <c r="D3" s="40">
        <v>2015.0</v>
      </c>
      <c r="E3" s="40" t="s">
        <v>395</v>
      </c>
      <c r="F3" s="40" t="s">
        <v>396</v>
      </c>
      <c r="G3" s="40" t="s">
        <v>397</v>
      </c>
      <c r="H3" s="141" t="s">
        <v>398</v>
      </c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399</v>
      </c>
      <c r="D4" s="73"/>
      <c r="E4" s="73"/>
      <c r="F4" s="43"/>
      <c r="G4" s="43"/>
      <c r="H4" s="4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>
        <v>97.0</v>
      </c>
      <c r="C6" s="48"/>
      <c r="D6" s="53">
        <v>104.9</v>
      </c>
      <c r="E6" s="53">
        <v>107.0</v>
      </c>
      <c r="F6" s="53">
        <v>110.0</v>
      </c>
      <c r="G6" s="48"/>
      <c r="H6" s="49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 t="s">
        <v>400</v>
      </c>
      <c r="C8" s="53" t="s">
        <v>401</v>
      </c>
      <c r="D8" s="48"/>
      <c r="E8" s="53" t="s">
        <v>402</v>
      </c>
      <c r="F8" s="53"/>
      <c r="G8" s="48"/>
      <c r="H8" s="49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33"/>
      <c r="D10" s="33"/>
      <c r="E10" s="33"/>
      <c r="F10" s="33"/>
      <c r="G10" s="87">
        <f>(11+13+25)/49</f>
        <v>1</v>
      </c>
      <c r="H10" s="46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33"/>
      <c r="D11" s="33"/>
      <c r="E11" s="146">
        <v>1.0</v>
      </c>
      <c r="F11" s="146">
        <v>1.0</v>
      </c>
      <c r="G11" s="143">
        <v>0.9556</v>
      </c>
      <c r="H11" s="46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147">
        <v>0.96</v>
      </c>
      <c r="D12" s="48"/>
      <c r="E12" s="53">
        <v>97.87</v>
      </c>
      <c r="F12" s="146">
        <v>1.0</v>
      </c>
      <c r="G12" s="48"/>
      <c r="H12" s="49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54" t="s">
        <v>33</v>
      </c>
      <c r="B13" s="33"/>
      <c r="C13" s="33"/>
      <c r="D13" s="33"/>
      <c r="E13" s="33"/>
      <c r="F13" s="33"/>
      <c r="G13" s="33"/>
      <c r="H13" s="46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55"/>
      <c r="B14" s="33"/>
      <c r="C14" s="33"/>
      <c r="D14" s="33"/>
      <c r="E14" s="33"/>
      <c r="F14" s="33"/>
      <c r="G14" s="33"/>
      <c r="H14" s="46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48"/>
      <c r="B17" s="48"/>
      <c r="C17" s="48"/>
      <c r="D17" s="48"/>
      <c r="E17" s="48"/>
      <c r="F17" s="48"/>
      <c r="G17" s="48"/>
      <c r="H17" s="49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A19" s="40" t="s">
        <v>403</v>
      </c>
      <c r="B19" s="33"/>
      <c r="C19" s="33"/>
      <c r="D19" s="33"/>
      <c r="E19" s="33"/>
      <c r="F19" s="33"/>
      <c r="G19" s="33"/>
      <c r="H19" s="33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5" t="s">
        <v>1</v>
      </c>
      <c r="B20" s="36" t="s">
        <v>2</v>
      </c>
      <c r="C20" s="36" t="s">
        <v>3</v>
      </c>
      <c r="D20" s="36" t="s">
        <v>4</v>
      </c>
      <c r="E20" s="36" t="s">
        <v>5</v>
      </c>
      <c r="F20" s="36" t="s">
        <v>6</v>
      </c>
      <c r="G20" s="36" t="s">
        <v>7</v>
      </c>
      <c r="H20" s="37" t="s">
        <v>8</v>
      </c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6"/>
      <c r="B21" s="90">
        <v>38730.0</v>
      </c>
      <c r="C21" s="40">
        <v>2017.0</v>
      </c>
      <c r="D21" s="40">
        <v>2017.0</v>
      </c>
      <c r="E21" s="40" t="s">
        <v>341</v>
      </c>
      <c r="F21" s="40" t="s">
        <v>342</v>
      </c>
      <c r="G21" s="40" t="s">
        <v>404</v>
      </c>
      <c r="H21" s="141" t="s">
        <v>405</v>
      </c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12"/>
      <c r="B22" s="41" t="s">
        <v>13</v>
      </c>
      <c r="C22" s="41" t="s">
        <v>406</v>
      </c>
      <c r="D22" s="73"/>
      <c r="E22" s="73"/>
      <c r="F22" s="43"/>
      <c r="G22" s="43"/>
      <c r="H22" s="4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45" t="s">
        <v>14</v>
      </c>
      <c r="B23" s="40" t="s">
        <v>15</v>
      </c>
      <c r="C23" s="40" t="s">
        <v>16</v>
      </c>
      <c r="D23" s="40" t="s">
        <v>17</v>
      </c>
      <c r="E23" s="40" t="s">
        <v>18</v>
      </c>
      <c r="F23" s="40" t="s">
        <v>19</v>
      </c>
      <c r="G23" s="40" t="s">
        <v>20</v>
      </c>
      <c r="H23" s="46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2"/>
      <c r="B24" s="47"/>
      <c r="C24" s="48"/>
      <c r="D24" s="53">
        <v>104.0</v>
      </c>
      <c r="E24" s="53">
        <v>107.0</v>
      </c>
      <c r="F24" s="53">
        <v>110.0</v>
      </c>
      <c r="G24" s="48"/>
      <c r="H24" s="49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5" t="s">
        <v>21</v>
      </c>
      <c r="B25" s="40" t="s">
        <v>22</v>
      </c>
      <c r="C25" s="40" t="s">
        <v>23</v>
      </c>
      <c r="D25" s="40" t="s">
        <v>24</v>
      </c>
      <c r="E25" s="40" t="s">
        <v>25</v>
      </c>
      <c r="F25" s="40" t="s">
        <v>26</v>
      </c>
      <c r="G25" s="40" t="s">
        <v>27</v>
      </c>
      <c r="H25" s="46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12"/>
      <c r="B26" s="53"/>
      <c r="C26" s="53"/>
      <c r="D26" s="53" t="s">
        <v>346</v>
      </c>
      <c r="E26" s="53" t="s">
        <v>407</v>
      </c>
      <c r="F26" s="48"/>
      <c r="G26" s="48"/>
      <c r="H26" s="49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45" t="s">
        <v>28</v>
      </c>
      <c r="B27" s="33"/>
      <c r="C27" s="40" t="s">
        <v>15</v>
      </c>
      <c r="D27" s="40" t="s">
        <v>16</v>
      </c>
      <c r="E27" s="40" t="s">
        <v>17</v>
      </c>
      <c r="F27" s="40" t="s">
        <v>18</v>
      </c>
      <c r="G27" s="40" t="s">
        <v>19</v>
      </c>
      <c r="H27" s="51" t="s">
        <v>20</v>
      </c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6"/>
      <c r="B28" s="40" t="s">
        <v>30</v>
      </c>
      <c r="C28" s="33"/>
      <c r="D28" s="33"/>
      <c r="E28" s="146">
        <v>0.46</v>
      </c>
      <c r="F28" s="143"/>
      <c r="G28" s="87">
        <f>(10+10+22)/49</f>
        <v>0.8571428571</v>
      </c>
      <c r="H28" s="46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6"/>
      <c r="B29" s="40" t="s">
        <v>31</v>
      </c>
      <c r="C29" s="33"/>
      <c r="D29" s="33"/>
      <c r="E29" s="143">
        <v>0.615</v>
      </c>
      <c r="F29" s="143">
        <v>0.833</v>
      </c>
      <c r="G29" s="143">
        <v>0.9111</v>
      </c>
      <c r="H29" s="46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12"/>
      <c r="B30" s="53" t="s">
        <v>32</v>
      </c>
      <c r="C30" s="147"/>
      <c r="D30" s="48"/>
      <c r="E30" s="53">
        <v>85.11</v>
      </c>
      <c r="F30" s="143">
        <v>0.937</v>
      </c>
      <c r="G30" s="48"/>
      <c r="H30" s="49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54" t="s">
        <v>33</v>
      </c>
      <c r="B31" s="33"/>
      <c r="C31" s="33"/>
      <c r="D31" s="33"/>
      <c r="E31" s="33"/>
      <c r="F31" s="33"/>
      <c r="G31" s="33"/>
      <c r="H31" s="46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55"/>
      <c r="B32" s="33"/>
      <c r="C32" s="33"/>
      <c r="D32" s="33"/>
      <c r="E32" s="33"/>
      <c r="F32" s="33"/>
      <c r="G32" s="33"/>
      <c r="H32" s="46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5"/>
      <c r="B33" s="33"/>
      <c r="C33" s="33"/>
      <c r="D33" s="33"/>
      <c r="E33" s="33"/>
      <c r="F33" s="33"/>
      <c r="G33" s="33"/>
      <c r="H33" s="46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5"/>
      <c r="B34" s="33"/>
      <c r="C34" s="33"/>
      <c r="D34" s="33"/>
      <c r="E34" s="33"/>
      <c r="F34" s="33"/>
      <c r="G34" s="33"/>
      <c r="H34" s="46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6"/>
      <c r="B35" s="48"/>
      <c r="C35" s="48"/>
      <c r="D35" s="48"/>
      <c r="E35" s="48"/>
      <c r="F35" s="48"/>
      <c r="G35" s="48"/>
      <c r="H35" s="49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34"/>
      <c r="B36" s="34"/>
      <c r="C36" s="34"/>
      <c r="D36" s="34"/>
      <c r="E36" s="34"/>
      <c r="F36" s="34"/>
      <c r="G36" s="34"/>
      <c r="H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34"/>
      <c r="B37" s="34"/>
      <c r="C37" s="34"/>
      <c r="D37" s="34"/>
      <c r="E37" s="34"/>
      <c r="F37" s="34"/>
      <c r="G37" s="34"/>
      <c r="H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4"/>
      <c r="B38" s="34"/>
      <c r="C38" s="34"/>
      <c r="D38" s="34"/>
      <c r="E38" s="34"/>
      <c r="F38" s="34"/>
      <c r="G38" s="34"/>
      <c r="H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59" t="s">
        <v>408</v>
      </c>
      <c r="B39" s="34"/>
      <c r="C39" s="34"/>
      <c r="D39" s="34"/>
      <c r="E39" s="34"/>
      <c r="F39" s="34"/>
      <c r="G39" s="34"/>
      <c r="H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35" t="s">
        <v>1</v>
      </c>
      <c r="B40" s="36" t="s">
        <v>2</v>
      </c>
      <c r="C40" s="36" t="s">
        <v>3</v>
      </c>
      <c r="D40" s="36" t="s">
        <v>4</v>
      </c>
      <c r="E40" s="36" t="s">
        <v>5</v>
      </c>
      <c r="F40" s="36" t="s">
        <v>6</v>
      </c>
      <c r="G40" s="36" t="s">
        <v>7</v>
      </c>
      <c r="H40" s="37" t="s">
        <v>8</v>
      </c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6"/>
      <c r="B41" s="90">
        <v>38813.0</v>
      </c>
      <c r="C41" s="40">
        <v>2006.0</v>
      </c>
      <c r="D41" s="40">
        <v>2013.0</v>
      </c>
      <c r="E41" s="40" t="s">
        <v>409</v>
      </c>
      <c r="F41" s="40" t="s">
        <v>410</v>
      </c>
      <c r="G41" s="40"/>
      <c r="H41" s="141" t="s">
        <v>411</v>
      </c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12"/>
      <c r="B42" s="41" t="s">
        <v>13</v>
      </c>
      <c r="C42" s="41"/>
      <c r="D42" s="73"/>
      <c r="E42" s="73"/>
      <c r="F42" s="43"/>
      <c r="G42" s="43"/>
      <c r="H42" s="4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45" t="s">
        <v>14</v>
      </c>
      <c r="B43" s="40" t="s">
        <v>15</v>
      </c>
      <c r="C43" s="40" t="s">
        <v>16</v>
      </c>
      <c r="D43" s="40" t="s">
        <v>17</v>
      </c>
      <c r="E43" s="40" t="s">
        <v>18</v>
      </c>
      <c r="F43" s="40" t="s">
        <v>19</v>
      </c>
      <c r="G43" s="40" t="s">
        <v>20</v>
      </c>
      <c r="H43" s="46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12"/>
      <c r="B44" s="47">
        <v>98.0</v>
      </c>
      <c r="C44" s="53">
        <v>101.0</v>
      </c>
      <c r="D44" s="53">
        <v>104.0</v>
      </c>
      <c r="E44" s="53">
        <v>107.0</v>
      </c>
      <c r="F44" s="53">
        <v>110.0</v>
      </c>
      <c r="G44" s="48"/>
      <c r="H44" s="49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45" t="s">
        <v>21</v>
      </c>
      <c r="B45" s="40" t="s">
        <v>22</v>
      </c>
      <c r="C45" s="40" t="s">
        <v>23</v>
      </c>
      <c r="D45" s="40" t="s">
        <v>24</v>
      </c>
      <c r="E45" s="40" t="s">
        <v>25</v>
      </c>
      <c r="F45" s="40" t="s">
        <v>26</v>
      </c>
      <c r="G45" s="40" t="s">
        <v>27</v>
      </c>
      <c r="H45" s="46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12"/>
      <c r="B46" s="53"/>
      <c r="C46" s="53" t="s">
        <v>412</v>
      </c>
      <c r="D46" s="53" t="s">
        <v>413</v>
      </c>
      <c r="E46" s="53" t="s">
        <v>414</v>
      </c>
      <c r="F46" s="48"/>
      <c r="G46" s="48"/>
      <c r="H46" s="49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45" t="s">
        <v>28</v>
      </c>
      <c r="B47" s="33"/>
      <c r="C47" s="40" t="s">
        <v>15</v>
      </c>
      <c r="D47" s="40" t="s">
        <v>16</v>
      </c>
      <c r="E47" s="40" t="s">
        <v>17</v>
      </c>
      <c r="F47" s="40" t="s">
        <v>18</v>
      </c>
      <c r="G47" s="40" t="s">
        <v>19</v>
      </c>
      <c r="H47" s="51" t="s">
        <v>20</v>
      </c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6"/>
      <c r="B48" s="40" t="s">
        <v>30</v>
      </c>
      <c r="C48" s="33"/>
      <c r="D48" s="33"/>
      <c r="E48" s="33"/>
      <c r="F48" s="33"/>
      <c r="G48" s="87">
        <f>(10+11+20)/49</f>
        <v>0.8367346939</v>
      </c>
      <c r="H48" s="46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6"/>
      <c r="B49" s="40" t="s">
        <v>31</v>
      </c>
      <c r="C49" s="33"/>
      <c r="D49" s="33"/>
      <c r="E49" s="33"/>
      <c r="F49" s="143">
        <v>0.958</v>
      </c>
      <c r="G49" s="143">
        <v>0.8222</v>
      </c>
      <c r="H49" s="46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12"/>
      <c r="B50" s="53" t="s">
        <v>32</v>
      </c>
      <c r="C50" s="147"/>
      <c r="D50" s="48"/>
      <c r="E50" s="48"/>
      <c r="F50" s="144">
        <v>0.9667</v>
      </c>
      <c r="G50" s="48"/>
      <c r="H50" s="49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54" t="s">
        <v>33</v>
      </c>
      <c r="B51" s="33"/>
      <c r="C51" s="33"/>
      <c r="D51" s="33"/>
      <c r="E51" s="33"/>
      <c r="F51" s="33"/>
      <c r="G51" s="33"/>
      <c r="H51" s="46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55"/>
      <c r="B52" s="33"/>
      <c r="C52" s="33"/>
      <c r="D52" s="33"/>
      <c r="E52" s="33"/>
      <c r="F52" s="33"/>
      <c r="G52" s="33"/>
      <c r="H52" s="46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55"/>
      <c r="B53" s="33"/>
      <c r="C53" s="33"/>
      <c r="D53" s="33"/>
      <c r="E53" s="33"/>
      <c r="F53" s="33"/>
      <c r="G53" s="33"/>
      <c r="H53" s="46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55"/>
      <c r="B54" s="33"/>
      <c r="C54" s="33"/>
      <c r="D54" s="33"/>
      <c r="E54" s="33"/>
      <c r="F54" s="33"/>
      <c r="G54" s="33"/>
      <c r="H54" s="46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56"/>
      <c r="B55" s="48"/>
      <c r="C55" s="48"/>
      <c r="D55" s="48"/>
      <c r="E55" s="48"/>
      <c r="F55" s="48"/>
      <c r="G55" s="48"/>
      <c r="H55" s="49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34"/>
      <c r="B56" s="34"/>
      <c r="C56" s="34"/>
      <c r="D56" s="34"/>
      <c r="E56" s="34"/>
      <c r="F56" s="34"/>
      <c r="G56" s="34"/>
      <c r="H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59" t="s">
        <v>415</v>
      </c>
      <c r="B59" s="34"/>
      <c r="C59" s="34"/>
      <c r="D59" s="34"/>
      <c r="E59" s="34"/>
      <c r="F59" s="34"/>
      <c r="G59" s="34"/>
      <c r="H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35" t="s">
        <v>1</v>
      </c>
      <c r="B60" s="36" t="s">
        <v>2</v>
      </c>
      <c r="C60" s="36" t="s">
        <v>3</v>
      </c>
      <c r="D60" s="36" t="s">
        <v>4</v>
      </c>
      <c r="E60" s="36" t="s">
        <v>5</v>
      </c>
      <c r="F60" s="36" t="s">
        <v>6</v>
      </c>
      <c r="G60" s="36" t="s">
        <v>7</v>
      </c>
      <c r="H60" s="37" t="s">
        <v>8</v>
      </c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6"/>
      <c r="B61" s="90">
        <v>38793.0</v>
      </c>
      <c r="C61" s="40">
        <v>2006.0</v>
      </c>
      <c r="D61" s="90">
        <v>43765.0</v>
      </c>
      <c r="E61" s="40" t="s">
        <v>205</v>
      </c>
      <c r="F61" s="40" t="s">
        <v>206</v>
      </c>
      <c r="G61" s="40" t="s">
        <v>416</v>
      </c>
      <c r="H61" s="141" t="s">
        <v>417</v>
      </c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2"/>
      <c r="B62" s="41" t="s">
        <v>13</v>
      </c>
      <c r="C62" s="41" t="s">
        <v>208</v>
      </c>
      <c r="D62" s="73"/>
      <c r="E62" s="73"/>
      <c r="F62" s="43"/>
      <c r="G62" s="43"/>
      <c r="H62" s="4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45" t="s">
        <v>14</v>
      </c>
      <c r="B63" s="40" t="s">
        <v>15</v>
      </c>
      <c r="C63" s="40" t="s">
        <v>16</v>
      </c>
      <c r="D63" s="40" t="s">
        <v>17</v>
      </c>
      <c r="E63" s="40" t="s">
        <v>18</v>
      </c>
      <c r="F63" s="40" t="s">
        <v>19</v>
      </c>
      <c r="G63" s="40" t="s">
        <v>20</v>
      </c>
      <c r="H63" s="46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2"/>
      <c r="B64" s="47">
        <v>98.0</v>
      </c>
      <c r="C64" s="53">
        <v>101.0</v>
      </c>
      <c r="D64" s="53">
        <v>104.0</v>
      </c>
      <c r="E64" s="53">
        <v>107.0</v>
      </c>
      <c r="F64" s="53">
        <v>110.0</v>
      </c>
      <c r="G64" s="48"/>
      <c r="H64" s="49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45" t="s">
        <v>21</v>
      </c>
      <c r="B65" s="40" t="s">
        <v>22</v>
      </c>
      <c r="C65" s="40" t="s">
        <v>23</v>
      </c>
      <c r="D65" s="40" t="s">
        <v>24</v>
      </c>
      <c r="E65" s="40" t="s">
        <v>25</v>
      </c>
      <c r="F65" s="40" t="s">
        <v>26</v>
      </c>
      <c r="G65" s="40" t="s">
        <v>27</v>
      </c>
      <c r="H65" s="46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2"/>
      <c r="B66" s="53" t="s">
        <v>418</v>
      </c>
      <c r="C66" s="53" t="s">
        <v>419</v>
      </c>
      <c r="D66" s="53" t="s">
        <v>420</v>
      </c>
      <c r="E66" s="53" t="s">
        <v>421</v>
      </c>
      <c r="F66" s="48"/>
      <c r="G66" s="48"/>
      <c r="H66" s="49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45" t="s">
        <v>28</v>
      </c>
      <c r="B67" s="33"/>
      <c r="C67" s="40" t="s">
        <v>15</v>
      </c>
      <c r="D67" s="40" t="s">
        <v>16</v>
      </c>
      <c r="E67" s="40" t="s">
        <v>17</v>
      </c>
      <c r="F67" s="40" t="s">
        <v>18</v>
      </c>
      <c r="G67" s="40" t="s">
        <v>19</v>
      </c>
      <c r="H67" s="51" t="s">
        <v>20</v>
      </c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6"/>
      <c r="B68" s="40" t="s">
        <v>30</v>
      </c>
      <c r="C68" s="33"/>
      <c r="D68" s="33"/>
      <c r="E68" s="33"/>
      <c r="F68" s="33"/>
      <c r="G68" s="87">
        <f>(11+11+25)/49</f>
        <v>0.9591836735</v>
      </c>
      <c r="H68" s="46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6"/>
      <c r="B69" s="40" t="s">
        <v>31</v>
      </c>
      <c r="C69" s="33"/>
      <c r="D69" s="33"/>
      <c r="E69" s="33"/>
      <c r="F69" s="143">
        <v>0.957</v>
      </c>
      <c r="G69" s="143">
        <v>0.9778</v>
      </c>
      <c r="H69" s="46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2"/>
      <c r="B70" s="53" t="s">
        <v>32</v>
      </c>
      <c r="C70" s="147"/>
      <c r="D70" s="48"/>
      <c r="E70" s="48"/>
      <c r="F70" s="148">
        <v>0.9667</v>
      </c>
      <c r="G70" s="48"/>
      <c r="H70" s="49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54" t="s">
        <v>33</v>
      </c>
      <c r="B71" s="33"/>
      <c r="C71" s="33"/>
      <c r="D71" s="33"/>
      <c r="E71" s="33"/>
      <c r="F71" s="33"/>
      <c r="G71" s="33"/>
      <c r="H71" s="46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55"/>
      <c r="B72" s="33"/>
      <c r="C72" s="33"/>
      <c r="D72" s="33"/>
      <c r="E72" s="33"/>
      <c r="F72" s="33"/>
      <c r="G72" s="33"/>
      <c r="H72" s="46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55"/>
      <c r="B73" s="33"/>
      <c r="C73" s="33"/>
      <c r="D73" s="33"/>
      <c r="E73" s="33"/>
      <c r="F73" s="33"/>
      <c r="G73" s="33"/>
      <c r="H73" s="46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55"/>
      <c r="B74" s="33"/>
      <c r="C74" s="33"/>
      <c r="D74" s="33"/>
      <c r="E74" s="33"/>
      <c r="F74" s="33"/>
      <c r="G74" s="33"/>
      <c r="H74" s="46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56"/>
      <c r="B75" s="48"/>
      <c r="C75" s="48"/>
      <c r="D75" s="48"/>
      <c r="E75" s="48"/>
      <c r="F75" s="48"/>
      <c r="G75" s="48"/>
      <c r="H75" s="49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A76" s="34"/>
      <c r="B76" s="34"/>
      <c r="C76" s="34"/>
      <c r="D76" s="34"/>
      <c r="E76" s="34"/>
      <c r="F76" s="34"/>
      <c r="G76" s="34"/>
      <c r="H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A77" s="34"/>
      <c r="B77" s="34"/>
      <c r="C77" s="34"/>
      <c r="D77" s="34"/>
      <c r="E77" s="34"/>
      <c r="F77" s="34"/>
      <c r="G77" s="34"/>
      <c r="H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A78" s="34"/>
      <c r="B78" s="34"/>
      <c r="C78" s="34"/>
      <c r="D78" s="34"/>
      <c r="E78" s="34"/>
      <c r="F78" s="34"/>
      <c r="G78" s="34"/>
      <c r="H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59" t="s">
        <v>422</v>
      </c>
      <c r="B79" s="34"/>
      <c r="C79" s="34"/>
      <c r="D79" s="34"/>
      <c r="E79" s="34"/>
      <c r="F79" s="34"/>
      <c r="G79" s="34"/>
      <c r="H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35" t="s">
        <v>1</v>
      </c>
      <c r="B80" s="36" t="s">
        <v>2</v>
      </c>
      <c r="C80" s="36" t="s">
        <v>3</v>
      </c>
      <c r="D80" s="36" t="s">
        <v>4</v>
      </c>
      <c r="E80" s="36" t="s">
        <v>5</v>
      </c>
      <c r="F80" s="36" t="s">
        <v>6</v>
      </c>
      <c r="G80" s="36" t="s">
        <v>7</v>
      </c>
      <c r="H80" s="37" t="s">
        <v>8</v>
      </c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6"/>
      <c r="B81" s="90">
        <v>38491.0</v>
      </c>
      <c r="C81" s="40" t="s">
        <v>119</v>
      </c>
      <c r="D81" s="40" t="s">
        <v>119</v>
      </c>
      <c r="E81" s="40" t="s">
        <v>423</v>
      </c>
      <c r="F81" s="40"/>
      <c r="G81" s="40"/>
      <c r="H81" s="141" t="s">
        <v>424</v>
      </c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2"/>
      <c r="B82" s="41" t="s">
        <v>13</v>
      </c>
      <c r="C82" s="41"/>
      <c r="D82" s="73"/>
      <c r="E82" s="73"/>
      <c r="F82" s="43"/>
      <c r="G82" s="43"/>
      <c r="H82" s="4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45" t="s">
        <v>14</v>
      </c>
      <c r="B83" s="40" t="s">
        <v>15</v>
      </c>
      <c r="C83" s="40" t="s">
        <v>16</v>
      </c>
      <c r="D83" s="40" t="s">
        <v>17</v>
      </c>
      <c r="E83" s="40" t="s">
        <v>18</v>
      </c>
      <c r="F83" s="40" t="s">
        <v>19</v>
      </c>
      <c r="G83" s="40" t="s">
        <v>20</v>
      </c>
      <c r="H83" s="46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2"/>
      <c r="B84" s="47"/>
      <c r="C84" s="53"/>
      <c r="D84" s="53"/>
      <c r="E84" s="53"/>
      <c r="F84" s="53">
        <v>110.0</v>
      </c>
      <c r="G84" s="48"/>
      <c r="H84" s="49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45" t="s">
        <v>21</v>
      </c>
      <c r="B85" s="40" t="s">
        <v>22</v>
      </c>
      <c r="C85" s="40" t="s">
        <v>23</v>
      </c>
      <c r="D85" s="40" t="s">
        <v>24</v>
      </c>
      <c r="E85" s="40" t="s">
        <v>25</v>
      </c>
      <c r="F85" s="40" t="s">
        <v>26</v>
      </c>
      <c r="G85" s="40" t="s">
        <v>27</v>
      </c>
      <c r="H85" s="46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2"/>
      <c r="B86" s="53"/>
      <c r="C86" s="53"/>
      <c r="D86" s="53"/>
      <c r="E86" s="53" t="s">
        <v>425</v>
      </c>
      <c r="F86" s="48"/>
      <c r="G86" s="48"/>
      <c r="H86" s="49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45" t="s">
        <v>28</v>
      </c>
      <c r="B87" s="33"/>
      <c r="C87" s="40" t="s">
        <v>15</v>
      </c>
      <c r="D87" s="40" t="s">
        <v>16</v>
      </c>
      <c r="E87" s="40" t="s">
        <v>17</v>
      </c>
      <c r="F87" s="40" t="s">
        <v>18</v>
      </c>
      <c r="G87" s="40" t="s">
        <v>19</v>
      </c>
      <c r="H87" s="51" t="s">
        <v>20</v>
      </c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6"/>
      <c r="B88" s="40" t="s">
        <v>30</v>
      </c>
      <c r="C88" s="33"/>
      <c r="D88" s="33"/>
      <c r="E88" s="33"/>
      <c r="F88" s="33"/>
      <c r="G88" s="87">
        <f>(6+3+1)/49</f>
        <v>0.2040816327</v>
      </c>
      <c r="H88" s="46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6"/>
      <c r="B89" s="40" t="s">
        <v>31</v>
      </c>
      <c r="C89" s="33"/>
      <c r="D89" s="33"/>
      <c r="E89" s="33"/>
      <c r="F89" s="143"/>
      <c r="G89" s="143">
        <v>0.2444</v>
      </c>
      <c r="H89" s="46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2"/>
      <c r="B90" s="53" t="s">
        <v>32</v>
      </c>
      <c r="C90" s="147"/>
      <c r="D90" s="48"/>
      <c r="E90" s="48"/>
      <c r="F90" s="53" t="s">
        <v>426</v>
      </c>
      <c r="G90" s="48"/>
      <c r="H90" s="49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54" t="s">
        <v>33</v>
      </c>
      <c r="B91" s="33"/>
      <c r="C91" s="33"/>
      <c r="D91" s="33"/>
      <c r="E91" s="33"/>
      <c r="F91" s="33"/>
      <c r="G91" s="33"/>
      <c r="H91" s="46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54" t="s">
        <v>427</v>
      </c>
      <c r="B92" s="33"/>
      <c r="C92" s="33"/>
      <c r="D92" s="33"/>
      <c r="E92" s="33"/>
      <c r="F92" s="33"/>
      <c r="G92" s="33"/>
      <c r="H92" s="46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54" t="s">
        <v>428</v>
      </c>
      <c r="B93" s="33"/>
      <c r="C93" s="33"/>
      <c r="D93" s="33"/>
      <c r="E93" s="33"/>
      <c r="F93" s="33"/>
      <c r="G93" s="33"/>
      <c r="H93" s="46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54" t="s">
        <v>429</v>
      </c>
      <c r="B94" s="33"/>
      <c r="C94" s="33"/>
      <c r="D94" s="33"/>
      <c r="E94" s="33"/>
      <c r="F94" s="33"/>
      <c r="G94" s="33"/>
      <c r="H94" s="46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56"/>
      <c r="B95" s="48"/>
      <c r="C95" s="48"/>
      <c r="D95" s="48"/>
      <c r="E95" s="48"/>
      <c r="F95" s="48"/>
      <c r="G95" s="48"/>
      <c r="H95" s="49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  <row r="988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</row>
    <row r="989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</row>
    <row r="990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</row>
    <row r="991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</row>
    <row r="992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</row>
    <row r="993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</row>
    <row r="994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</row>
    <row r="99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</row>
    <row r="996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</row>
    <row r="997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</row>
    <row r="998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</row>
    <row r="999">
      <c r="A999" s="34"/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</row>
  </sheetData>
  <mergeCells count="25">
    <mergeCell ref="A2:A4"/>
    <mergeCell ref="C4:E4"/>
    <mergeCell ref="A5:A6"/>
    <mergeCell ref="A7:A8"/>
    <mergeCell ref="A9:A12"/>
    <mergeCell ref="A20:A22"/>
    <mergeCell ref="C22:E22"/>
    <mergeCell ref="A23:A24"/>
    <mergeCell ref="A25:A26"/>
    <mergeCell ref="A27:A30"/>
    <mergeCell ref="A40:A42"/>
    <mergeCell ref="C42:E42"/>
    <mergeCell ref="A43:A44"/>
    <mergeCell ref="A45:A46"/>
    <mergeCell ref="A80:A82"/>
    <mergeCell ref="A83:A84"/>
    <mergeCell ref="A85:A86"/>
    <mergeCell ref="A87:A90"/>
    <mergeCell ref="A47:A50"/>
    <mergeCell ref="A60:A62"/>
    <mergeCell ref="C62:E62"/>
    <mergeCell ref="A63:A64"/>
    <mergeCell ref="A65:A66"/>
    <mergeCell ref="A67:A70"/>
    <mergeCell ref="C82:E8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E7CC3"/>
    <outlinePr summaryBelow="0" summaryRight="0"/>
  </sheetPr>
  <sheetViews>
    <sheetView workbookViewId="0"/>
  </sheetViews>
  <sheetFormatPr customHeight="1" defaultColWidth="11.22" defaultRowHeight="15.0"/>
  <cols>
    <col customWidth="1" min="1" max="7" width="12.33"/>
    <col customWidth="1" min="8" max="8" width="14.78"/>
  </cols>
  <sheetData>
    <row r="1">
      <c r="A1" s="99" t="s">
        <v>430</v>
      </c>
      <c r="B1" s="43"/>
      <c r="C1" s="43"/>
      <c r="D1" s="43"/>
      <c r="E1" s="43"/>
      <c r="F1" s="43"/>
      <c r="G1" s="43"/>
      <c r="H1" s="4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>
      <c r="A2" s="45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51" t="s">
        <v>8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6"/>
      <c r="B3" s="90">
        <v>38323.0</v>
      </c>
      <c r="C3" s="40">
        <v>2005.0</v>
      </c>
      <c r="D3" s="40">
        <v>2017.0</v>
      </c>
      <c r="E3" s="40" t="s">
        <v>351</v>
      </c>
      <c r="F3" s="40" t="s">
        <v>352</v>
      </c>
      <c r="G3" s="40" t="s">
        <v>353</v>
      </c>
      <c r="H3" s="141" t="s">
        <v>431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>
      <c r="A4" s="12"/>
      <c r="B4" s="41" t="s">
        <v>13</v>
      </c>
      <c r="C4" s="41" t="s">
        <v>355</v>
      </c>
      <c r="D4" s="73"/>
      <c r="E4" s="73"/>
      <c r="F4" s="43"/>
      <c r="G4" s="43"/>
      <c r="H4" s="4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>
      <c r="A6" s="12"/>
      <c r="B6" s="47">
        <v>97.0</v>
      </c>
      <c r="C6" s="47">
        <v>100.0</v>
      </c>
      <c r="D6" s="53">
        <v>103.0</v>
      </c>
      <c r="E6" s="53">
        <v>106.0</v>
      </c>
      <c r="F6" s="53">
        <v>109.0</v>
      </c>
      <c r="G6" s="48"/>
      <c r="H6" s="4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>
      <c r="A8" s="12"/>
      <c r="B8" s="53" t="s">
        <v>432</v>
      </c>
      <c r="C8" s="53" t="s">
        <v>346</v>
      </c>
      <c r="D8" s="48"/>
      <c r="E8" s="53" t="s">
        <v>433</v>
      </c>
      <c r="F8" s="48"/>
      <c r="G8" s="48"/>
      <c r="H8" s="49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>
      <c r="A10" s="6"/>
      <c r="B10" s="40" t="s">
        <v>30</v>
      </c>
      <c r="C10" s="33"/>
      <c r="D10" s="149"/>
      <c r="E10" s="149">
        <v>0.942</v>
      </c>
      <c r="F10" s="40">
        <v>98.0</v>
      </c>
      <c r="G10" s="87">
        <f>(8+8+7+13)/(11+11+12+13)</f>
        <v>0.7659574468</v>
      </c>
      <c r="H10" s="4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>
      <c r="A11" s="6"/>
      <c r="B11" s="40" t="s">
        <v>31</v>
      </c>
      <c r="C11" s="33"/>
      <c r="D11" s="146"/>
      <c r="E11" s="146">
        <v>0.97</v>
      </c>
      <c r="F11" s="33"/>
      <c r="G11" s="87">
        <f>(11+10+12)/49</f>
        <v>0.6734693878</v>
      </c>
      <c r="H11" s="46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>
      <c r="A12" s="12"/>
      <c r="B12" s="53" t="s">
        <v>32</v>
      </c>
      <c r="C12" s="48"/>
      <c r="D12" s="144"/>
      <c r="E12" s="144">
        <v>1.0</v>
      </c>
      <c r="F12" s="148">
        <v>0.837</v>
      </c>
      <c r="G12" s="148">
        <v>0.6</v>
      </c>
      <c r="H12" s="4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>
      <c r="A13" s="77" t="s">
        <v>33</v>
      </c>
      <c r="B13" s="150"/>
      <c r="C13" s="33"/>
      <c r="D13" s="33"/>
      <c r="E13" s="33"/>
      <c r="F13" s="33"/>
      <c r="G13" s="33"/>
      <c r="H13" s="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>
      <c r="A14" s="151"/>
      <c r="B14" s="34"/>
      <c r="C14" s="34"/>
      <c r="D14" s="34"/>
      <c r="E14" s="34"/>
      <c r="F14" s="34"/>
      <c r="G14" s="34"/>
      <c r="H14" s="152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>
      <c r="A15" s="55"/>
      <c r="B15" s="33"/>
      <c r="C15" s="33"/>
      <c r="D15" s="33"/>
      <c r="E15" s="33"/>
      <c r="F15" s="33"/>
      <c r="G15" s="33"/>
      <c r="H15" s="46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>
      <c r="A16" s="55"/>
      <c r="B16" s="33"/>
      <c r="C16" s="33"/>
      <c r="D16" s="33"/>
      <c r="E16" s="33"/>
      <c r="F16" s="33"/>
      <c r="G16" s="33"/>
      <c r="H16" s="46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>
      <c r="A17" s="56"/>
      <c r="B17" s="48"/>
      <c r="C17" s="48"/>
      <c r="D17" s="48"/>
      <c r="E17" s="48"/>
      <c r="F17" s="109"/>
      <c r="G17" s="48"/>
      <c r="H17" s="49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>
      <c r="A20" s="33"/>
      <c r="B20" s="33"/>
      <c r="C20" s="33"/>
      <c r="D20" s="33"/>
      <c r="E20" s="33"/>
      <c r="F20" s="33"/>
      <c r="G20" s="33"/>
      <c r="H20" s="33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>
      <c r="A21" s="54" t="s">
        <v>434</v>
      </c>
      <c r="B21" s="33"/>
      <c r="C21" s="33"/>
      <c r="D21" s="33"/>
      <c r="E21" s="33"/>
      <c r="F21" s="33"/>
      <c r="G21" s="33"/>
      <c r="H21" s="33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>
      <c r="A22" s="35" t="s">
        <v>1</v>
      </c>
      <c r="B22" s="36" t="s">
        <v>2</v>
      </c>
      <c r="C22" s="36" t="s">
        <v>3</v>
      </c>
      <c r="D22" s="36" t="s">
        <v>4</v>
      </c>
      <c r="E22" s="36" t="s">
        <v>5</v>
      </c>
      <c r="F22" s="36" t="s">
        <v>6</v>
      </c>
      <c r="G22" s="36" t="s">
        <v>7</v>
      </c>
      <c r="H22" s="37" t="s">
        <v>8</v>
      </c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>
      <c r="A23" s="6"/>
      <c r="B23" s="90">
        <v>38258.0</v>
      </c>
      <c r="C23" s="40">
        <v>2004.0</v>
      </c>
      <c r="D23" s="40">
        <v>2015.0</v>
      </c>
      <c r="E23" s="40" t="s">
        <v>261</v>
      </c>
      <c r="F23" s="40" t="s">
        <v>262</v>
      </c>
      <c r="G23" s="40" t="s">
        <v>263</v>
      </c>
      <c r="H23" s="141" t="s">
        <v>336</v>
      </c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>
      <c r="A24" s="12"/>
      <c r="B24" s="41" t="s">
        <v>13</v>
      </c>
      <c r="C24" s="41" t="s">
        <v>337</v>
      </c>
      <c r="D24" s="73"/>
      <c r="E24" s="43"/>
      <c r="F24" s="43"/>
      <c r="G24" s="43"/>
      <c r="H24" s="4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>
      <c r="A25" s="45" t="s">
        <v>14</v>
      </c>
      <c r="B25" s="40" t="s">
        <v>15</v>
      </c>
      <c r="C25" s="40" t="s">
        <v>16</v>
      </c>
      <c r="D25" s="40" t="s">
        <v>17</v>
      </c>
      <c r="E25" s="40" t="s">
        <v>18</v>
      </c>
      <c r="F25" s="40" t="s">
        <v>19</v>
      </c>
      <c r="G25" s="40" t="s">
        <v>20</v>
      </c>
      <c r="H25" s="46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>
      <c r="A26" s="12"/>
      <c r="B26" s="47">
        <v>97.0</v>
      </c>
      <c r="C26" s="47">
        <v>100.0</v>
      </c>
      <c r="D26" s="53">
        <v>103.0</v>
      </c>
      <c r="E26" s="53">
        <v>106.0</v>
      </c>
      <c r="F26" s="53">
        <v>109.0</v>
      </c>
      <c r="G26" s="48"/>
      <c r="H26" s="49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>
      <c r="A27" s="45" t="s">
        <v>21</v>
      </c>
      <c r="B27" s="40" t="s">
        <v>22</v>
      </c>
      <c r="C27" s="40" t="s">
        <v>23</v>
      </c>
      <c r="D27" s="40" t="s">
        <v>24</v>
      </c>
      <c r="E27" s="40" t="s">
        <v>25</v>
      </c>
      <c r="F27" s="40" t="s">
        <v>26</v>
      </c>
      <c r="G27" s="40" t="s">
        <v>27</v>
      </c>
      <c r="H27" s="46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>
      <c r="A28" s="12"/>
      <c r="B28" s="53" t="s">
        <v>435</v>
      </c>
      <c r="C28" s="53" t="s">
        <v>346</v>
      </c>
      <c r="D28" s="48"/>
      <c r="E28" s="53" t="s">
        <v>433</v>
      </c>
      <c r="F28" s="53"/>
      <c r="G28" s="48"/>
      <c r="H28" s="4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>
      <c r="A29" s="45" t="s">
        <v>28</v>
      </c>
      <c r="B29" s="33"/>
      <c r="C29" s="40" t="s">
        <v>15</v>
      </c>
      <c r="D29" s="40" t="s">
        <v>16</v>
      </c>
      <c r="E29" s="40" t="s">
        <v>17</v>
      </c>
      <c r="F29" s="40" t="s">
        <v>18</v>
      </c>
      <c r="G29" s="40" t="s">
        <v>19</v>
      </c>
      <c r="H29" s="51" t="s">
        <v>20</v>
      </c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>
      <c r="A30" s="6"/>
      <c r="B30" s="40" t="s">
        <v>30</v>
      </c>
      <c r="C30" s="33"/>
      <c r="E30" s="149">
        <v>0.9615</v>
      </c>
      <c r="F30" s="40">
        <v>93.8</v>
      </c>
      <c r="G30" s="87">
        <f>(9+6+11+13)/(11+10+12+13)</f>
        <v>0.847826087</v>
      </c>
      <c r="H30" s="46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>
      <c r="A31" s="6"/>
      <c r="B31" s="40" t="s">
        <v>31</v>
      </c>
      <c r="C31" s="33"/>
      <c r="E31" s="40">
        <v>97.0</v>
      </c>
      <c r="F31" s="33"/>
      <c r="G31" s="87">
        <f>(11+10+23)/49</f>
        <v>0.8979591837</v>
      </c>
      <c r="H31" s="46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>
      <c r="A32" s="12"/>
      <c r="B32" s="53" t="s">
        <v>32</v>
      </c>
      <c r="C32" s="48"/>
      <c r="D32" s="48"/>
      <c r="E32" s="53">
        <v>100.0</v>
      </c>
      <c r="F32" s="148">
        <v>0.978</v>
      </c>
      <c r="G32" s="148">
        <v>0.9556</v>
      </c>
      <c r="H32" s="49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>
      <c r="A33" s="54" t="s">
        <v>33</v>
      </c>
      <c r="C33" s="33"/>
      <c r="D33" s="33"/>
      <c r="E33" s="33"/>
      <c r="F33" s="33"/>
      <c r="G33" s="33"/>
      <c r="H33" s="46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>
      <c r="A34" s="55"/>
      <c r="B34" s="33"/>
      <c r="C34" s="33"/>
      <c r="D34" s="33"/>
      <c r="E34" s="33"/>
      <c r="F34" s="33"/>
      <c r="G34" s="33"/>
      <c r="H34" s="46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>
      <c r="A35" s="55"/>
      <c r="B35" s="33"/>
      <c r="C35" s="33"/>
      <c r="D35" s="33"/>
      <c r="E35" s="33"/>
      <c r="F35" s="33"/>
      <c r="G35" s="33"/>
      <c r="H35" s="46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>
      <c r="A36" s="55"/>
      <c r="B36" s="33"/>
      <c r="C36" s="33"/>
      <c r="D36" s="33"/>
      <c r="E36" s="33"/>
      <c r="F36" s="33"/>
      <c r="G36" s="33"/>
      <c r="H36" s="46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>
      <c r="A37" s="56"/>
      <c r="B37" s="48"/>
      <c r="C37" s="48"/>
      <c r="D37" s="48"/>
      <c r="E37" s="48"/>
      <c r="F37" s="48"/>
      <c r="G37" s="48"/>
      <c r="H37" s="49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>
      <c r="A38" s="33"/>
      <c r="B38" s="33"/>
      <c r="C38" s="33"/>
      <c r="D38" s="33"/>
      <c r="E38" s="33"/>
      <c r="F38" s="33"/>
      <c r="G38" s="33"/>
      <c r="H38" s="33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>
      <c r="A39" s="33"/>
      <c r="B39" s="33"/>
      <c r="C39" s="33"/>
      <c r="D39" s="33"/>
      <c r="E39" s="33"/>
      <c r="F39" s="33"/>
      <c r="G39" s="33"/>
      <c r="H39" s="33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>
      <c r="A40" s="99" t="s">
        <v>436</v>
      </c>
      <c r="B40" s="43"/>
      <c r="C40" s="43"/>
      <c r="D40" s="43"/>
      <c r="E40" s="43"/>
      <c r="F40" s="43"/>
      <c r="G40" s="43"/>
      <c r="H40" s="4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>
      <c r="A41" s="45" t="s">
        <v>1</v>
      </c>
      <c r="B41" s="40" t="s">
        <v>2</v>
      </c>
      <c r="C41" s="40" t="s">
        <v>3</v>
      </c>
      <c r="D41" s="40" t="s">
        <v>4</v>
      </c>
      <c r="E41" s="40" t="s">
        <v>5</v>
      </c>
      <c r="F41" s="40" t="s">
        <v>6</v>
      </c>
      <c r="G41" s="40" t="s">
        <v>7</v>
      </c>
      <c r="H41" s="51" t="s">
        <v>8</v>
      </c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>
      <c r="A42" s="6"/>
      <c r="B42" s="90">
        <v>38576.0</v>
      </c>
      <c r="C42" s="40" t="s">
        <v>437</v>
      </c>
      <c r="D42" s="40" t="s">
        <v>237</v>
      </c>
      <c r="E42" s="40" t="s">
        <v>438</v>
      </c>
      <c r="F42" s="40" t="s">
        <v>439</v>
      </c>
      <c r="G42" s="40" t="s">
        <v>440</v>
      </c>
      <c r="H42" s="141" t="s">
        <v>441</v>
      </c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>
      <c r="A43" s="12"/>
      <c r="B43" s="41" t="s">
        <v>13</v>
      </c>
      <c r="C43" s="41" t="s">
        <v>442</v>
      </c>
      <c r="D43" s="73"/>
      <c r="E43" s="73"/>
      <c r="F43" s="73"/>
      <c r="G43" s="73"/>
      <c r="H43" s="153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>
      <c r="A44" s="45" t="s">
        <v>14</v>
      </c>
      <c r="B44" s="40" t="s">
        <v>15</v>
      </c>
      <c r="C44" s="40" t="s">
        <v>16</v>
      </c>
      <c r="D44" s="40" t="s">
        <v>17</v>
      </c>
      <c r="E44" s="40" t="s">
        <v>18</v>
      </c>
      <c r="F44" s="40" t="s">
        <v>19</v>
      </c>
      <c r="G44" s="40" t="s">
        <v>20</v>
      </c>
      <c r="H44" s="46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>
      <c r="A45" s="12"/>
      <c r="B45" s="48"/>
      <c r="C45" s="47"/>
      <c r="D45" s="53">
        <v>104.0</v>
      </c>
      <c r="E45" s="53">
        <v>106.0</v>
      </c>
      <c r="F45" s="53">
        <v>109.0</v>
      </c>
      <c r="G45" s="48"/>
      <c r="H45" s="49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>
      <c r="A46" s="45" t="s">
        <v>21</v>
      </c>
      <c r="B46" s="40" t="s">
        <v>22</v>
      </c>
      <c r="C46" s="40" t="s">
        <v>23</v>
      </c>
      <c r="D46" s="36" t="s">
        <v>24</v>
      </c>
      <c r="E46" s="40" t="s">
        <v>25</v>
      </c>
      <c r="F46" s="40" t="s">
        <v>26</v>
      </c>
      <c r="G46" s="40" t="s">
        <v>27</v>
      </c>
      <c r="H46" s="46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>
      <c r="A47" s="12"/>
      <c r="B47" s="48"/>
      <c r="C47" s="53"/>
      <c r="D47" s="48"/>
      <c r="E47" s="53" t="s">
        <v>443</v>
      </c>
      <c r="F47" s="48"/>
      <c r="G47" s="48"/>
      <c r="H47" s="49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>
      <c r="A48" s="45" t="s">
        <v>28</v>
      </c>
      <c r="B48" s="33"/>
      <c r="C48" s="40" t="s">
        <v>15</v>
      </c>
      <c r="D48" s="40" t="s">
        <v>16</v>
      </c>
      <c r="E48" s="40" t="s">
        <v>17</v>
      </c>
      <c r="F48" s="40" t="s">
        <v>18</v>
      </c>
      <c r="G48" s="40" t="s">
        <v>19</v>
      </c>
      <c r="H48" s="51" t="s">
        <v>20</v>
      </c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>
      <c r="A49" s="6"/>
      <c r="B49" s="40" t="s">
        <v>30</v>
      </c>
      <c r="C49" s="33"/>
      <c r="D49" s="33"/>
      <c r="E49" s="149"/>
      <c r="F49" s="40">
        <v>35.4</v>
      </c>
      <c r="G49" s="143">
        <f>(0+3+2+10)/(11+11+12+13)</f>
        <v>0.3191489362</v>
      </c>
      <c r="H49" s="46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>
      <c r="A50" s="6"/>
      <c r="B50" s="40" t="s">
        <v>31</v>
      </c>
      <c r="C50" s="33"/>
      <c r="D50" s="33"/>
      <c r="E50" s="33"/>
      <c r="F50" s="33"/>
      <c r="G50" s="87">
        <f>(1+1+13)/49</f>
        <v>0.306122449</v>
      </c>
      <c r="H50" s="46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>
      <c r="A51" s="12"/>
      <c r="B51" s="53" t="s">
        <v>32</v>
      </c>
      <c r="C51" s="48"/>
      <c r="D51" s="154"/>
      <c r="E51" s="144">
        <v>0.7</v>
      </c>
      <c r="F51" s="148">
        <v>0.0935</v>
      </c>
      <c r="G51" s="48"/>
      <c r="H51" s="49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>
      <c r="A52" s="54" t="s">
        <v>33</v>
      </c>
      <c r="C52" s="33"/>
      <c r="D52" s="33"/>
      <c r="E52" s="33"/>
      <c r="F52" s="33"/>
      <c r="G52" s="33"/>
      <c r="H52" s="46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>
      <c r="A53" s="54" t="s">
        <v>444</v>
      </c>
      <c r="H53" s="155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>
      <c r="A54" s="54"/>
      <c r="D54" s="33"/>
      <c r="E54" s="33"/>
      <c r="F54" s="33"/>
      <c r="G54" s="33"/>
      <c r="H54" s="46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>
      <c r="A55" s="54"/>
      <c r="D55" s="33"/>
      <c r="E55" s="33"/>
      <c r="F55" s="33"/>
      <c r="G55" s="33"/>
      <c r="H55" s="46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>
      <c r="A56" s="56"/>
      <c r="B56" s="48"/>
      <c r="C56" s="48"/>
      <c r="D56" s="48"/>
      <c r="E56" s="48"/>
      <c r="F56" s="48"/>
      <c r="G56" s="48"/>
      <c r="H56" s="49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>
      <c r="A59" s="156" t="s">
        <v>445</v>
      </c>
      <c r="B59" s="157"/>
      <c r="C59" s="157"/>
      <c r="D59" s="157"/>
      <c r="E59" s="157"/>
      <c r="F59" s="157"/>
      <c r="G59" s="157"/>
      <c r="H59" s="158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>
      <c r="A60" s="159" t="s">
        <v>1</v>
      </c>
      <c r="B60" s="40" t="s">
        <v>2</v>
      </c>
      <c r="C60" s="40" t="s">
        <v>3</v>
      </c>
      <c r="D60" s="40" t="s">
        <v>4</v>
      </c>
      <c r="E60" s="40" t="s">
        <v>5</v>
      </c>
      <c r="F60" s="40" t="s">
        <v>6</v>
      </c>
      <c r="G60" s="40" t="s">
        <v>7</v>
      </c>
      <c r="H60" s="160" t="s">
        <v>8</v>
      </c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>
      <c r="A61" s="161"/>
      <c r="B61" s="145">
        <v>38484.0</v>
      </c>
      <c r="C61" s="90">
        <v>43226.0</v>
      </c>
      <c r="D61" s="90">
        <v>43281.0</v>
      </c>
      <c r="E61" s="40" t="s">
        <v>446</v>
      </c>
      <c r="F61" s="40" t="s">
        <v>447</v>
      </c>
      <c r="G61" s="52"/>
      <c r="H61" s="162" t="s">
        <v>448</v>
      </c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>
      <c r="A62" s="163"/>
      <c r="B62" s="41" t="s">
        <v>13</v>
      </c>
      <c r="C62" s="41" t="s">
        <v>449</v>
      </c>
      <c r="D62" s="73"/>
      <c r="E62" s="73"/>
      <c r="F62" s="73"/>
      <c r="G62" s="73"/>
      <c r="H62" s="16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>
      <c r="A63" s="159" t="s">
        <v>14</v>
      </c>
      <c r="B63" s="40" t="s">
        <v>15</v>
      </c>
      <c r="C63" s="40" t="s">
        <v>16</v>
      </c>
      <c r="D63" s="40" t="s">
        <v>17</v>
      </c>
      <c r="E63" s="40" t="s">
        <v>18</v>
      </c>
      <c r="F63" s="40" t="s">
        <v>19</v>
      </c>
      <c r="G63" s="40" t="s">
        <v>20</v>
      </c>
      <c r="H63" s="165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>
      <c r="A64" s="163"/>
      <c r="B64" s="48"/>
      <c r="C64" s="47"/>
      <c r="D64" s="53"/>
      <c r="E64" s="53">
        <v>106.0</v>
      </c>
      <c r="F64" s="53">
        <v>109.0</v>
      </c>
      <c r="G64" s="48"/>
      <c r="H64" s="166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>
      <c r="A65" s="159" t="s">
        <v>21</v>
      </c>
      <c r="B65" s="40" t="s">
        <v>22</v>
      </c>
      <c r="C65" s="40" t="s">
        <v>23</v>
      </c>
      <c r="D65" s="40" t="s">
        <v>24</v>
      </c>
      <c r="E65" s="40" t="s">
        <v>25</v>
      </c>
      <c r="F65" s="40" t="s">
        <v>26</v>
      </c>
      <c r="G65" s="40" t="s">
        <v>27</v>
      </c>
      <c r="H65" s="165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>
      <c r="A66" s="163"/>
      <c r="B66" s="48"/>
      <c r="C66" s="53"/>
      <c r="D66" s="48"/>
      <c r="E66" s="53" t="s">
        <v>450</v>
      </c>
      <c r="F66" s="48"/>
      <c r="G66" s="48"/>
      <c r="H66" s="166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>
      <c r="A67" s="159" t="s">
        <v>28</v>
      </c>
      <c r="B67" s="33"/>
      <c r="C67" s="40" t="s">
        <v>15</v>
      </c>
      <c r="D67" s="40" t="s">
        <v>16</v>
      </c>
      <c r="E67" s="40" t="s">
        <v>17</v>
      </c>
      <c r="F67" s="40" t="s">
        <v>18</v>
      </c>
      <c r="G67" s="40" t="s">
        <v>19</v>
      </c>
      <c r="H67" s="160" t="s">
        <v>20</v>
      </c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>
      <c r="A68" s="161"/>
      <c r="B68" s="40" t="s">
        <v>30</v>
      </c>
      <c r="C68" s="33"/>
      <c r="D68" s="33"/>
      <c r="E68" s="33"/>
      <c r="F68" s="40">
        <v>77.1</v>
      </c>
      <c r="G68" s="143">
        <f>(9+7+7+13)/(11+10+12+13)</f>
        <v>0.7826086957</v>
      </c>
      <c r="H68" s="165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>
      <c r="A69" s="161"/>
      <c r="B69" s="40" t="s">
        <v>31</v>
      </c>
      <c r="C69" s="33"/>
      <c r="D69" s="33"/>
      <c r="E69" s="33"/>
      <c r="F69" s="33"/>
      <c r="G69" s="87">
        <f>(8+10+20)/49</f>
        <v>0.7755102041</v>
      </c>
      <c r="H69" s="165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>
      <c r="A70" s="163"/>
      <c r="B70" s="53" t="s">
        <v>32</v>
      </c>
      <c r="C70" s="48"/>
      <c r="D70" s="48"/>
      <c r="E70" s="48"/>
      <c r="F70" s="148">
        <v>0.915</v>
      </c>
      <c r="G70" s="148">
        <v>0.7667</v>
      </c>
      <c r="H70" s="166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>
      <c r="A71" s="167" t="s">
        <v>33</v>
      </c>
      <c r="B71" s="33"/>
      <c r="C71" s="33"/>
      <c r="D71" s="33"/>
      <c r="E71" s="33"/>
      <c r="F71" s="33"/>
      <c r="G71" s="33"/>
      <c r="H71" s="165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>
      <c r="A72" s="167" t="s">
        <v>451</v>
      </c>
      <c r="H72" s="168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>
      <c r="A73" s="169"/>
      <c r="B73" s="33"/>
      <c r="C73" s="33"/>
      <c r="D73" s="33"/>
      <c r="E73" s="33"/>
      <c r="F73" s="33"/>
      <c r="G73" s="33"/>
      <c r="H73" s="165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>
      <c r="A74" s="169"/>
      <c r="B74" s="33"/>
      <c r="C74" s="33"/>
      <c r="D74" s="33"/>
      <c r="E74" s="33"/>
      <c r="F74" s="33"/>
      <c r="G74" s="33"/>
      <c r="H74" s="165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>
      <c r="A75" s="170"/>
      <c r="B75" s="171"/>
      <c r="C75" s="171"/>
      <c r="D75" s="171"/>
      <c r="E75" s="171"/>
      <c r="F75" s="171"/>
      <c r="G75" s="171"/>
      <c r="H75" s="172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>
      <c r="A79" s="156" t="s">
        <v>452</v>
      </c>
      <c r="B79" s="157"/>
      <c r="C79" s="157"/>
      <c r="D79" s="157"/>
      <c r="E79" s="157"/>
      <c r="F79" s="157"/>
      <c r="G79" s="157"/>
      <c r="H79" s="158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>
      <c r="A80" s="159" t="s">
        <v>1</v>
      </c>
      <c r="B80" s="40" t="s">
        <v>2</v>
      </c>
      <c r="C80" s="40" t="s">
        <v>3</v>
      </c>
      <c r="D80" s="40" t="s">
        <v>4</v>
      </c>
      <c r="E80" s="40" t="s">
        <v>5</v>
      </c>
      <c r="F80" s="40" t="s">
        <v>6</v>
      </c>
      <c r="G80" s="40" t="s">
        <v>7</v>
      </c>
      <c r="H80" s="160" t="s">
        <v>8</v>
      </c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>
      <c r="A81" s="161"/>
      <c r="B81" s="145">
        <v>38535.0</v>
      </c>
      <c r="C81" s="40" t="s">
        <v>237</v>
      </c>
      <c r="D81" s="40" t="s">
        <v>237</v>
      </c>
      <c r="E81" s="40" t="s">
        <v>453</v>
      </c>
      <c r="F81" s="40" t="s">
        <v>454</v>
      </c>
      <c r="G81" s="52"/>
      <c r="H81" s="160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>
      <c r="A82" s="163"/>
      <c r="B82" s="41" t="s">
        <v>13</v>
      </c>
      <c r="C82" s="41"/>
      <c r="D82" s="73"/>
      <c r="E82" s="73"/>
      <c r="F82" s="73"/>
      <c r="G82" s="73"/>
      <c r="H82" s="16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>
      <c r="A83" s="159" t="s">
        <v>14</v>
      </c>
      <c r="B83" s="40" t="s">
        <v>15</v>
      </c>
      <c r="C83" s="40" t="s">
        <v>16</v>
      </c>
      <c r="D83" s="40" t="s">
        <v>17</v>
      </c>
      <c r="E83" s="40" t="s">
        <v>18</v>
      </c>
      <c r="F83" s="40" t="s">
        <v>19</v>
      </c>
      <c r="G83" s="40" t="s">
        <v>20</v>
      </c>
      <c r="H83" s="165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>
      <c r="A84" s="163"/>
      <c r="B84" s="48"/>
      <c r="C84" s="47"/>
      <c r="D84" s="53"/>
      <c r="E84" s="53"/>
      <c r="F84" s="53">
        <v>109.0</v>
      </c>
      <c r="G84" s="48"/>
      <c r="H84" s="166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>
      <c r="A85" s="159" t="s">
        <v>21</v>
      </c>
      <c r="B85" s="40" t="s">
        <v>22</v>
      </c>
      <c r="C85" s="40" t="s">
        <v>23</v>
      </c>
      <c r="D85" s="40" t="s">
        <v>24</v>
      </c>
      <c r="E85" s="40" t="s">
        <v>25</v>
      </c>
      <c r="F85" s="40" t="s">
        <v>26</v>
      </c>
      <c r="G85" s="40" t="s">
        <v>27</v>
      </c>
      <c r="H85" s="165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>
      <c r="A86" s="163"/>
      <c r="B86" s="48"/>
      <c r="C86" s="53"/>
      <c r="D86" s="48"/>
      <c r="E86" s="53" t="s">
        <v>455</v>
      </c>
      <c r="F86" s="48"/>
      <c r="G86" s="48"/>
      <c r="H86" s="166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>
      <c r="A87" s="159" t="s">
        <v>28</v>
      </c>
      <c r="B87" s="33"/>
      <c r="C87" s="40" t="s">
        <v>15</v>
      </c>
      <c r="D87" s="40" t="s">
        <v>16</v>
      </c>
      <c r="E87" s="40" t="s">
        <v>17</v>
      </c>
      <c r="F87" s="40" t="s">
        <v>18</v>
      </c>
      <c r="G87" s="40" t="s">
        <v>19</v>
      </c>
      <c r="H87" s="160" t="s">
        <v>20</v>
      </c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>
      <c r="A88" s="161"/>
      <c r="B88" s="40" t="s">
        <v>30</v>
      </c>
      <c r="C88" s="33"/>
      <c r="D88" s="33"/>
      <c r="E88" s="33"/>
      <c r="F88" s="40"/>
      <c r="G88" s="143">
        <f>(10+5+6+12)/(11+10+12+13)</f>
        <v>0.7173913043</v>
      </c>
      <c r="H88" s="165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>
      <c r="A89" s="161"/>
      <c r="B89" s="40" t="s">
        <v>31</v>
      </c>
      <c r="C89" s="33"/>
      <c r="D89" s="33"/>
      <c r="E89" s="33"/>
      <c r="F89" s="33"/>
      <c r="G89" s="87">
        <f>(9+5+12)/49</f>
        <v>0.5306122449</v>
      </c>
      <c r="H89" s="165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>
      <c r="A90" s="163"/>
      <c r="B90" s="53" t="s">
        <v>32</v>
      </c>
      <c r="C90" s="48"/>
      <c r="D90" s="48"/>
      <c r="E90" s="48"/>
      <c r="F90" s="148"/>
      <c r="G90" s="148">
        <v>0.3111</v>
      </c>
      <c r="H90" s="166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>
      <c r="A91" s="167" t="s">
        <v>33</v>
      </c>
      <c r="B91" s="33"/>
      <c r="C91" s="33"/>
      <c r="D91" s="33"/>
      <c r="E91" s="33"/>
      <c r="F91" s="33"/>
      <c r="G91" s="33"/>
      <c r="H91" s="165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>
      <c r="A92" s="167" t="s">
        <v>456</v>
      </c>
      <c r="H92" s="168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>
      <c r="A93" s="169"/>
      <c r="B93" s="33"/>
      <c r="C93" s="33"/>
      <c r="D93" s="33"/>
      <c r="E93" s="33"/>
      <c r="F93" s="33"/>
      <c r="G93" s="33"/>
      <c r="H93" s="165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>
      <c r="A94" s="169"/>
      <c r="B94" s="33"/>
      <c r="C94" s="33"/>
      <c r="D94" s="33"/>
      <c r="E94" s="33"/>
      <c r="F94" s="33"/>
      <c r="G94" s="33"/>
      <c r="H94" s="165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>
      <c r="A95" s="170"/>
      <c r="B95" s="171"/>
      <c r="C95" s="171"/>
      <c r="D95" s="171"/>
      <c r="E95" s="171"/>
      <c r="F95" s="171"/>
      <c r="G95" s="171"/>
      <c r="H95" s="172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>
      <c r="A96" s="33"/>
      <c r="B96" s="33"/>
      <c r="C96" s="33"/>
      <c r="D96" s="33"/>
      <c r="E96" s="33"/>
      <c r="F96" s="33"/>
      <c r="G96" s="33"/>
      <c r="H96" s="33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</row>
    <row r="252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</row>
    <row r="253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</row>
    <row r="254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</row>
    <row r="25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</row>
    <row r="256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</row>
    <row r="257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</row>
    <row r="258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</row>
    <row r="259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</row>
    <row r="260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</row>
    <row r="261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</row>
    <row r="262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</row>
    <row r="263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</row>
    <row r="264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</row>
    <row r="26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</row>
    <row r="266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</row>
    <row r="267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</row>
    <row r="268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</row>
    <row r="269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</row>
    <row r="270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</row>
    <row r="271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</row>
    <row r="272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</row>
    <row r="273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</row>
    <row r="274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</row>
    <row r="27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</row>
    <row r="276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</row>
    <row r="277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</row>
    <row r="278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</row>
    <row r="279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</row>
    <row r="280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</row>
    <row r="281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</row>
    <row r="282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</row>
    <row r="283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</row>
    <row r="284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</row>
    <row r="28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</row>
    <row r="286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</row>
    <row r="287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</row>
    <row r="288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</row>
    <row r="289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</row>
    <row r="290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</row>
    <row r="291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</row>
    <row r="292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</row>
    <row r="293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</row>
    <row r="294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</row>
    <row r="29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</row>
    <row r="296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</row>
    <row r="297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</row>
    <row r="298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</row>
    <row r="299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</row>
    <row r="300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</row>
    <row r="301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</row>
    <row r="302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</row>
    <row r="303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</row>
    <row r="304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</row>
    <row r="30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</row>
    <row r="306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</row>
    <row r="307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</row>
    <row r="308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</row>
    <row r="309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</row>
    <row r="310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</row>
    <row r="311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</row>
    <row r="312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</row>
    <row r="313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</row>
    <row r="314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</row>
    <row r="31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</row>
    <row r="316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</row>
    <row r="317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</row>
    <row r="318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</row>
    <row r="319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</row>
    <row r="320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</row>
    <row r="321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</row>
    <row r="322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</row>
    <row r="323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</row>
    <row r="324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</row>
    <row r="3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</row>
    <row r="326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</row>
    <row r="327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</row>
    <row r="328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</row>
    <row r="329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</row>
    <row r="330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</row>
    <row r="331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</row>
    <row r="332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</row>
    <row r="333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</row>
    <row r="334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</row>
    <row r="33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</row>
    <row r="336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</row>
    <row r="337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</row>
    <row r="338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</row>
    <row r="339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</row>
    <row r="340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</row>
    <row r="341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</row>
    <row r="342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</row>
    <row r="343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</row>
    <row r="344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</row>
    <row r="34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</row>
    <row r="346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</row>
    <row r="347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</row>
    <row r="348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</row>
    <row r="349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</row>
    <row r="350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</row>
    <row r="351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</row>
    <row r="352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</row>
    <row r="353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</row>
    <row r="354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</row>
    <row r="35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</row>
    <row r="356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</row>
    <row r="357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</row>
    <row r="358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</row>
    <row r="359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</row>
    <row r="360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</row>
    <row r="361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</row>
    <row r="362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</row>
    <row r="363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</row>
    <row r="364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</row>
    <row r="36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</row>
    <row r="366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</row>
    <row r="367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</row>
    <row r="368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</row>
    <row r="369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</row>
    <row r="370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</row>
    <row r="371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</row>
    <row r="372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</row>
    <row r="373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</row>
    <row r="374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</row>
    <row r="37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</row>
    <row r="376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</row>
    <row r="377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</row>
    <row r="378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</row>
    <row r="379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</row>
    <row r="380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</row>
    <row r="381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</row>
    <row r="382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</row>
    <row r="383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</row>
    <row r="384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</row>
    <row r="38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</row>
    <row r="386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</row>
    <row r="387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</row>
    <row r="388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</row>
    <row r="389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</row>
    <row r="390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</row>
    <row r="391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</row>
    <row r="392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</row>
    <row r="393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</row>
    <row r="394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</row>
    <row r="39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</row>
    <row r="396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</row>
    <row r="397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</row>
    <row r="398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</row>
    <row r="399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</row>
    <row r="400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</row>
    <row r="401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</row>
    <row r="402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</row>
    <row r="403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</row>
    <row r="404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</row>
    <row r="40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</row>
    <row r="406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</row>
    <row r="407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</row>
    <row r="408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</row>
    <row r="409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</row>
    <row r="410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</row>
    <row r="411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</row>
    <row r="412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</row>
    <row r="413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</row>
    <row r="414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</row>
    <row r="41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</row>
    <row r="416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</row>
    <row r="417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</row>
    <row r="418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</row>
    <row r="419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</row>
    <row r="420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</row>
    <row r="421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</row>
    <row r="422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</row>
    <row r="423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</row>
    <row r="424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</row>
    <row r="4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</row>
    <row r="426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</row>
    <row r="427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</row>
    <row r="428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</row>
    <row r="429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</row>
    <row r="430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</row>
    <row r="431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</row>
    <row r="432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</row>
    <row r="433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</row>
    <row r="434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</row>
    <row r="43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</row>
    <row r="436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</row>
    <row r="437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</row>
    <row r="438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</row>
    <row r="439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</row>
    <row r="440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</row>
    <row r="441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</row>
    <row r="442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</row>
    <row r="443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</row>
    <row r="444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</row>
    <row r="44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</row>
    <row r="446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</row>
    <row r="447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</row>
    <row r="448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</row>
    <row r="449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</row>
    <row r="450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</row>
    <row r="451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</row>
    <row r="452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</row>
    <row r="453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</row>
    <row r="454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</row>
    <row r="45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</row>
    <row r="456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</row>
    <row r="457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</row>
    <row r="458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</row>
    <row r="459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</row>
    <row r="460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</row>
    <row r="461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</row>
    <row r="462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</row>
    <row r="463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</row>
    <row r="464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</row>
    <row r="46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</row>
    <row r="466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</row>
    <row r="467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</row>
    <row r="468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</row>
    <row r="469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</row>
    <row r="470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</row>
    <row r="471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</row>
    <row r="472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</row>
    <row r="473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</row>
    <row r="474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</row>
    <row r="47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</row>
    <row r="476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</row>
    <row r="477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</row>
    <row r="478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</row>
    <row r="479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</row>
    <row r="480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</row>
    <row r="481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</row>
    <row r="482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</row>
    <row r="483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</row>
    <row r="484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</row>
    <row r="48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</row>
    <row r="486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</row>
    <row r="487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</row>
    <row r="488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</row>
    <row r="489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</row>
    <row r="490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</row>
    <row r="491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</row>
    <row r="492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</row>
    <row r="493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</row>
    <row r="494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</row>
    <row r="49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</row>
    <row r="496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</row>
    <row r="497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</row>
    <row r="498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</row>
    <row r="499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</row>
    <row r="500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</row>
    <row r="501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</row>
    <row r="502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</row>
    <row r="503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</row>
    <row r="504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</row>
    <row r="50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</row>
    <row r="506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</row>
    <row r="507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</row>
    <row r="508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</row>
    <row r="509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</row>
    <row r="510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</row>
    <row r="511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</row>
    <row r="512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</row>
    <row r="513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</row>
    <row r="514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</row>
    <row r="51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</row>
    <row r="516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</row>
    <row r="517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</row>
    <row r="518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</row>
    <row r="519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</row>
    <row r="520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</row>
    <row r="521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</row>
    <row r="522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</row>
    <row r="523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</row>
    <row r="524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</row>
    <row r="5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</row>
    <row r="526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</row>
    <row r="527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</row>
    <row r="528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</row>
    <row r="529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</row>
    <row r="530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</row>
    <row r="531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</row>
    <row r="532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</row>
    <row r="533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</row>
    <row r="534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</row>
    <row r="53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</row>
    <row r="536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</row>
    <row r="537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</row>
    <row r="538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</row>
    <row r="539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</row>
    <row r="540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</row>
    <row r="541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</row>
    <row r="542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</row>
    <row r="543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</row>
    <row r="544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</row>
    <row r="54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</row>
    <row r="546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</row>
    <row r="547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</row>
    <row r="548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</row>
    <row r="549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</row>
    <row r="550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</row>
    <row r="551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</row>
    <row r="552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</row>
    <row r="553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</row>
    <row r="554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</row>
    <row r="55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</row>
    <row r="556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</row>
    <row r="557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</row>
    <row r="558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</row>
    <row r="559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</row>
    <row r="560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</row>
    <row r="561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</row>
    <row r="562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</row>
    <row r="563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</row>
    <row r="564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</row>
    <row r="56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</row>
    <row r="566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</row>
    <row r="567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</row>
    <row r="568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</row>
    <row r="569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</row>
    <row r="570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</row>
    <row r="571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</row>
    <row r="572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</row>
    <row r="573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</row>
    <row r="574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</row>
    <row r="57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</row>
    <row r="576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</row>
    <row r="577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</row>
    <row r="578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</row>
    <row r="579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</row>
    <row r="580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</row>
    <row r="581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</row>
    <row r="582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</row>
    <row r="583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</row>
    <row r="584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</row>
    <row r="58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</row>
    <row r="586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</row>
    <row r="587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</row>
    <row r="588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</row>
    <row r="589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</row>
    <row r="590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</row>
    <row r="591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</row>
    <row r="592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</row>
    <row r="593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</row>
    <row r="594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</row>
    <row r="59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</row>
    <row r="596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</row>
    <row r="597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</row>
    <row r="598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</row>
    <row r="599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</row>
    <row r="600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</row>
    <row r="601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</row>
    <row r="602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</row>
    <row r="603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</row>
    <row r="604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</row>
    <row r="60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</row>
    <row r="606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</row>
    <row r="607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</row>
    <row r="608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</row>
    <row r="609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</row>
    <row r="610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</row>
    <row r="611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</row>
    <row r="612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</row>
    <row r="613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</row>
    <row r="614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</row>
    <row r="61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</row>
    <row r="616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</row>
    <row r="617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</row>
    <row r="618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</row>
    <row r="619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</row>
    <row r="620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</row>
    <row r="621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</row>
    <row r="622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</row>
    <row r="623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</row>
    <row r="624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</row>
    <row r="6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</row>
    <row r="626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</row>
    <row r="627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</row>
    <row r="628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</row>
    <row r="629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</row>
    <row r="630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</row>
    <row r="631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</row>
    <row r="632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</row>
    <row r="633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</row>
    <row r="634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</row>
    <row r="63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</row>
    <row r="636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</row>
    <row r="637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</row>
    <row r="638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</row>
    <row r="639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</row>
    <row r="640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</row>
    <row r="641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</row>
    <row r="642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</row>
    <row r="643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</row>
    <row r="644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</row>
    <row r="64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</row>
    <row r="646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</row>
    <row r="647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</row>
    <row r="648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</row>
    <row r="649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</row>
    <row r="650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</row>
    <row r="651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</row>
    <row r="652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</row>
    <row r="653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</row>
    <row r="654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</row>
    <row r="65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</row>
    <row r="656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</row>
    <row r="657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</row>
    <row r="658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</row>
    <row r="659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</row>
    <row r="660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</row>
    <row r="661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</row>
    <row r="662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</row>
    <row r="663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</row>
    <row r="664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</row>
    <row r="66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</row>
    <row r="666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</row>
    <row r="667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</row>
    <row r="668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</row>
    <row r="669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</row>
    <row r="670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</row>
    <row r="671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</row>
    <row r="672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</row>
    <row r="673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</row>
    <row r="674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</row>
    <row r="67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</row>
    <row r="676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</row>
    <row r="677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</row>
    <row r="678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</row>
    <row r="679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</row>
    <row r="680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</row>
    <row r="681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</row>
    <row r="682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</row>
    <row r="683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</row>
    <row r="684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</row>
    <row r="68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</row>
    <row r="686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</row>
    <row r="687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</row>
    <row r="688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</row>
    <row r="689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</row>
    <row r="690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</row>
    <row r="691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</row>
    <row r="692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</row>
    <row r="693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</row>
    <row r="694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</row>
    <row r="69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</row>
    <row r="696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</row>
    <row r="697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</row>
    <row r="698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</row>
    <row r="699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</row>
    <row r="700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</row>
    <row r="701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</row>
    <row r="702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</row>
    <row r="703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</row>
    <row r="704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</row>
    <row r="70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</row>
    <row r="706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</row>
    <row r="707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</row>
    <row r="708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</row>
    <row r="709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</row>
    <row r="710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</row>
    <row r="711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</row>
    <row r="712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</row>
    <row r="713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</row>
    <row r="714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</row>
    <row r="71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</row>
    <row r="716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</row>
    <row r="717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</row>
    <row r="718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</row>
    <row r="719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</row>
    <row r="720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</row>
    <row r="721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</row>
    <row r="722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</row>
    <row r="723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</row>
    <row r="724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</row>
    <row r="7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</row>
    <row r="726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</row>
    <row r="727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</row>
    <row r="728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</row>
    <row r="729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</row>
    <row r="730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</row>
    <row r="731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</row>
    <row r="732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</row>
    <row r="733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</row>
    <row r="734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</row>
    <row r="73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</row>
    <row r="736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</row>
    <row r="737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</row>
    <row r="738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</row>
    <row r="739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</row>
    <row r="740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</row>
    <row r="741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</row>
    <row r="742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</row>
    <row r="743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</row>
    <row r="744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</row>
    <row r="74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</row>
    <row r="746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</row>
    <row r="747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</row>
    <row r="748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</row>
    <row r="749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</row>
    <row r="750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</row>
    <row r="751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</row>
    <row r="752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</row>
    <row r="753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</row>
    <row r="754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</row>
    <row r="75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</row>
    <row r="756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</row>
    <row r="757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</row>
    <row r="758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</row>
    <row r="759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</row>
    <row r="760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</row>
    <row r="761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</row>
    <row r="762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</row>
    <row r="763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</row>
    <row r="764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</row>
    <row r="76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</row>
    <row r="766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</row>
    <row r="767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</row>
    <row r="768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</row>
    <row r="769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</row>
    <row r="770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</row>
    <row r="771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</row>
    <row r="772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</row>
    <row r="773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</row>
    <row r="774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</row>
    <row r="77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</row>
    <row r="776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</row>
    <row r="777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</row>
    <row r="778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</row>
    <row r="779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</row>
    <row r="780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</row>
    <row r="781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</row>
    <row r="782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</row>
    <row r="783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</row>
    <row r="784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</row>
    <row r="78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</row>
    <row r="786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</row>
    <row r="787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</row>
    <row r="788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</row>
    <row r="789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</row>
    <row r="790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</row>
    <row r="791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</row>
    <row r="792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</row>
    <row r="793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</row>
    <row r="794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</row>
    <row r="79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</row>
    <row r="796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</row>
    <row r="797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</row>
    <row r="798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</row>
    <row r="799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</row>
    <row r="800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</row>
    <row r="801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</row>
    <row r="802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</row>
    <row r="803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</row>
    <row r="804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</row>
    <row r="80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</row>
    <row r="806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</row>
    <row r="807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</row>
    <row r="808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</row>
    <row r="809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</row>
    <row r="810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</row>
    <row r="811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</row>
    <row r="812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</row>
    <row r="813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</row>
    <row r="814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</row>
    <row r="81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</row>
    <row r="816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</row>
    <row r="817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</row>
    <row r="818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</row>
    <row r="819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</row>
    <row r="820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</row>
    <row r="821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</row>
    <row r="822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</row>
    <row r="823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</row>
    <row r="824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</row>
    <row r="8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</row>
    <row r="826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</row>
    <row r="827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</row>
    <row r="828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</row>
    <row r="829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</row>
    <row r="830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</row>
    <row r="831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</row>
    <row r="832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</row>
    <row r="833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</row>
    <row r="834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</row>
    <row r="83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</row>
    <row r="836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</row>
    <row r="837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</row>
    <row r="838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</row>
    <row r="839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</row>
    <row r="840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</row>
    <row r="841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</row>
    <row r="842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</row>
    <row r="843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</row>
    <row r="844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</row>
    <row r="84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</row>
    <row r="846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</row>
    <row r="847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</row>
    <row r="848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</row>
    <row r="849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</row>
    <row r="850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</row>
    <row r="851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</row>
    <row r="852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</row>
    <row r="853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</row>
    <row r="854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</row>
    <row r="85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</row>
    <row r="856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</row>
    <row r="857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</row>
    <row r="858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</row>
    <row r="859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</row>
    <row r="860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</row>
    <row r="861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</row>
    <row r="862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</row>
    <row r="863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</row>
    <row r="864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</row>
    <row r="86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</row>
    <row r="866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</row>
    <row r="867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</row>
    <row r="868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</row>
    <row r="869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</row>
    <row r="870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</row>
    <row r="871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</row>
    <row r="872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</row>
    <row r="873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</row>
    <row r="874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</row>
    <row r="87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</row>
    <row r="876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</row>
    <row r="877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</row>
    <row r="878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</row>
    <row r="879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</row>
    <row r="880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</row>
    <row r="881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</row>
    <row r="882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</row>
    <row r="883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</row>
    <row r="884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</row>
    <row r="88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</row>
    <row r="886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</row>
    <row r="887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</row>
    <row r="888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</row>
    <row r="889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</row>
    <row r="890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</row>
    <row r="891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</row>
    <row r="892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</row>
    <row r="893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</row>
    <row r="894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</row>
    <row r="89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</row>
    <row r="896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</row>
    <row r="897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</row>
    <row r="898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</row>
    <row r="899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</row>
    <row r="900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</row>
    <row r="901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</row>
    <row r="902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</row>
    <row r="903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</row>
    <row r="904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</row>
    <row r="90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</row>
    <row r="906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</row>
    <row r="907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</row>
    <row r="908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</row>
    <row r="909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</row>
    <row r="910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</row>
    <row r="911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</row>
    <row r="912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</row>
    <row r="913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</row>
    <row r="914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</row>
    <row r="91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</row>
    <row r="916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</row>
    <row r="917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</row>
    <row r="918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</row>
    <row r="919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</row>
    <row r="920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</row>
    <row r="921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</row>
    <row r="922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</row>
    <row r="923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</row>
    <row r="924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</row>
    <row r="9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</row>
    <row r="926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</row>
    <row r="927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</row>
    <row r="928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</row>
    <row r="929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</row>
    <row r="930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</row>
    <row r="931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</row>
    <row r="932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</row>
    <row r="933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</row>
    <row r="934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</row>
    <row r="93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</row>
    <row r="936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</row>
    <row r="937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</row>
    <row r="938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</row>
    <row r="939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</row>
    <row r="940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</row>
    <row r="941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</row>
    <row r="942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</row>
    <row r="943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</row>
    <row r="944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</row>
    <row r="94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</row>
    <row r="946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</row>
    <row r="947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</row>
    <row r="948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</row>
    <row r="949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</row>
    <row r="950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</row>
    <row r="951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</row>
    <row r="952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</row>
    <row r="953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</row>
    <row r="954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</row>
    <row r="95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</row>
    <row r="956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</row>
    <row r="957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</row>
    <row r="958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</row>
    <row r="959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</row>
    <row r="960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</row>
    <row r="961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</row>
    <row r="962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</row>
    <row r="963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</row>
    <row r="964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</row>
    <row r="96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</row>
    <row r="966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</row>
    <row r="967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</row>
    <row r="968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</row>
    <row r="969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</row>
    <row r="970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</row>
    <row r="971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</row>
    <row r="972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</row>
    <row r="973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</row>
    <row r="974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</row>
    <row r="97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</row>
    <row r="976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</row>
    <row r="977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</row>
    <row r="978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</row>
    <row r="979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</row>
    <row r="980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</row>
    <row r="981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</row>
    <row r="982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</row>
    <row r="983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</row>
    <row r="984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</row>
    <row r="98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</row>
    <row r="986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</row>
    <row r="987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</row>
  </sheetData>
  <mergeCells count="33">
    <mergeCell ref="A2:A4"/>
    <mergeCell ref="C4:E4"/>
    <mergeCell ref="A5:A6"/>
    <mergeCell ref="A7:A8"/>
    <mergeCell ref="A9:A12"/>
    <mergeCell ref="A13:B13"/>
    <mergeCell ref="C24:D24"/>
    <mergeCell ref="A22:A24"/>
    <mergeCell ref="A25:A26"/>
    <mergeCell ref="A27:A28"/>
    <mergeCell ref="A29:A32"/>
    <mergeCell ref="A33:B33"/>
    <mergeCell ref="A41:A43"/>
    <mergeCell ref="C43:H43"/>
    <mergeCell ref="A44:A45"/>
    <mergeCell ref="A46:A47"/>
    <mergeCell ref="A48:A51"/>
    <mergeCell ref="A52:B52"/>
    <mergeCell ref="A53:H53"/>
    <mergeCell ref="A54:C54"/>
    <mergeCell ref="A55:C55"/>
    <mergeCell ref="A80:A82"/>
    <mergeCell ref="A83:A84"/>
    <mergeCell ref="A85:A86"/>
    <mergeCell ref="A87:A90"/>
    <mergeCell ref="A60:A62"/>
    <mergeCell ref="C62:H62"/>
    <mergeCell ref="A63:A64"/>
    <mergeCell ref="A65:A66"/>
    <mergeCell ref="A67:A70"/>
    <mergeCell ref="A72:H72"/>
    <mergeCell ref="C82:H82"/>
    <mergeCell ref="A92:H92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156" t="s">
        <v>457</v>
      </c>
      <c r="B1" s="157"/>
      <c r="C1" s="157"/>
      <c r="D1" s="157"/>
      <c r="E1" s="157"/>
      <c r="F1" s="157"/>
      <c r="G1" s="157"/>
      <c r="H1" s="158"/>
      <c r="I1" s="173"/>
    </row>
    <row r="2">
      <c r="A2" s="159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160" t="s">
        <v>8</v>
      </c>
      <c r="I2" s="173"/>
    </row>
    <row r="3">
      <c r="A3" s="161"/>
      <c r="B3" s="145">
        <v>37399.0</v>
      </c>
      <c r="C3" s="40" t="s">
        <v>119</v>
      </c>
      <c r="D3" s="40" t="s">
        <v>119</v>
      </c>
      <c r="E3" s="40" t="s">
        <v>458</v>
      </c>
      <c r="F3" s="40" t="s">
        <v>459</v>
      </c>
      <c r="G3" s="40" t="s">
        <v>460</v>
      </c>
      <c r="H3" s="160" t="s">
        <v>461</v>
      </c>
      <c r="I3" s="173"/>
    </row>
    <row r="4">
      <c r="A4" s="163"/>
      <c r="B4" s="41" t="s">
        <v>13</v>
      </c>
      <c r="C4" s="41" t="s">
        <v>462</v>
      </c>
      <c r="D4" s="73"/>
      <c r="E4" s="73"/>
      <c r="F4" s="73"/>
      <c r="G4" s="73"/>
      <c r="H4" s="164"/>
      <c r="I4" s="173"/>
    </row>
    <row r="5">
      <c r="A5" s="159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165"/>
      <c r="I5" s="173"/>
    </row>
    <row r="6">
      <c r="A6" s="163"/>
      <c r="B6" s="48"/>
      <c r="C6" s="47">
        <v>97.0</v>
      </c>
      <c r="D6" s="53">
        <v>100.0</v>
      </c>
      <c r="E6" s="53">
        <v>103.0</v>
      </c>
      <c r="F6" s="53">
        <v>106.0</v>
      </c>
      <c r="G6" s="48"/>
      <c r="H6" s="166"/>
      <c r="I6" s="173"/>
    </row>
    <row r="7">
      <c r="A7" s="159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165"/>
      <c r="I7" s="173"/>
    </row>
    <row r="8">
      <c r="A8" s="163"/>
      <c r="B8" s="53" t="s">
        <v>463</v>
      </c>
      <c r="C8" s="53" t="s">
        <v>110</v>
      </c>
      <c r="D8" s="40" t="s">
        <v>346</v>
      </c>
      <c r="E8" s="53" t="s">
        <v>464</v>
      </c>
      <c r="F8" s="48"/>
      <c r="G8" s="48"/>
      <c r="H8" s="166"/>
      <c r="I8" s="173"/>
    </row>
    <row r="9">
      <c r="A9" s="159" t="s">
        <v>28</v>
      </c>
      <c r="B9" s="33"/>
      <c r="C9" s="40" t="s">
        <v>15</v>
      </c>
      <c r="D9" s="36" t="s">
        <v>16</v>
      </c>
      <c r="E9" s="40" t="s">
        <v>17</v>
      </c>
      <c r="F9" s="40" t="s">
        <v>18</v>
      </c>
      <c r="G9" s="40" t="s">
        <v>19</v>
      </c>
      <c r="H9" s="160" t="s">
        <v>20</v>
      </c>
      <c r="I9" s="173"/>
    </row>
    <row r="10">
      <c r="A10" s="161"/>
      <c r="B10" s="40" t="s">
        <v>30</v>
      </c>
      <c r="C10" s="33"/>
      <c r="D10" s="33"/>
      <c r="E10" s="149">
        <v>0.8846</v>
      </c>
      <c r="F10" s="146">
        <v>0.92</v>
      </c>
      <c r="G10" s="87"/>
      <c r="H10" s="165"/>
      <c r="I10" s="173"/>
    </row>
    <row r="11">
      <c r="A11" s="161"/>
      <c r="B11" s="40" t="s">
        <v>31</v>
      </c>
      <c r="C11" s="33"/>
      <c r="D11" s="33"/>
      <c r="E11" s="174">
        <v>0.86</v>
      </c>
      <c r="F11" s="146">
        <v>0.86</v>
      </c>
      <c r="G11" s="87">
        <f>(18+16)/47</f>
        <v>0.7234042553</v>
      </c>
      <c r="H11" s="165"/>
      <c r="I11" s="173"/>
    </row>
    <row r="12">
      <c r="A12" s="163"/>
      <c r="B12" s="53" t="s">
        <v>32</v>
      </c>
      <c r="C12" s="48"/>
      <c r="D12" s="48"/>
      <c r="E12" s="148">
        <v>0.885</v>
      </c>
      <c r="F12" s="48"/>
      <c r="G12" s="92">
        <f>(17+16)/43</f>
        <v>0.7674418605</v>
      </c>
      <c r="H12" s="166"/>
      <c r="I12" s="173"/>
    </row>
    <row r="13">
      <c r="A13" s="167" t="s">
        <v>33</v>
      </c>
      <c r="B13" s="33"/>
      <c r="C13" s="33"/>
      <c r="D13" s="33"/>
      <c r="E13" s="33"/>
      <c r="F13" s="33"/>
      <c r="G13" s="33"/>
      <c r="H13" s="165"/>
      <c r="I13" s="173"/>
    </row>
    <row r="14">
      <c r="A14" s="167" t="s">
        <v>465</v>
      </c>
      <c r="H14" s="168"/>
      <c r="I14" s="173"/>
    </row>
    <row r="15">
      <c r="A15" s="167" t="s">
        <v>466</v>
      </c>
      <c r="D15" s="33"/>
      <c r="E15" s="33"/>
      <c r="F15" s="33"/>
      <c r="G15" s="33"/>
      <c r="H15" s="165"/>
      <c r="I15" s="173"/>
    </row>
    <row r="16">
      <c r="A16" s="167" t="s">
        <v>467</v>
      </c>
      <c r="D16" s="33"/>
      <c r="E16" s="33"/>
      <c r="F16" s="33"/>
      <c r="G16" s="33"/>
      <c r="H16" s="165"/>
      <c r="I16" s="173"/>
    </row>
    <row r="18">
      <c r="A18" s="156" t="s">
        <v>468</v>
      </c>
      <c r="B18" s="157"/>
      <c r="C18" s="157"/>
      <c r="D18" s="157"/>
      <c r="E18" s="157"/>
      <c r="F18" s="157"/>
      <c r="G18" s="157"/>
      <c r="H18" s="158"/>
    </row>
    <row r="19">
      <c r="A19" s="159" t="s">
        <v>1</v>
      </c>
      <c r="B19" s="40" t="s">
        <v>2</v>
      </c>
      <c r="C19" s="40" t="s">
        <v>3</v>
      </c>
      <c r="D19" s="40" t="s">
        <v>4</v>
      </c>
      <c r="E19" s="40" t="s">
        <v>5</v>
      </c>
      <c r="F19" s="40" t="s">
        <v>6</v>
      </c>
      <c r="G19" s="40" t="s">
        <v>7</v>
      </c>
      <c r="H19" s="160" t="s">
        <v>8</v>
      </c>
    </row>
    <row r="20">
      <c r="A20" s="161"/>
      <c r="B20" s="145">
        <v>37824.0</v>
      </c>
      <c r="C20" s="40" t="s">
        <v>119</v>
      </c>
      <c r="D20" s="40" t="s">
        <v>469</v>
      </c>
      <c r="E20" s="40" t="s">
        <v>458</v>
      </c>
      <c r="F20" s="40" t="s">
        <v>459</v>
      </c>
      <c r="G20" s="40" t="s">
        <v>470</v>
      </c>
      <c r="H20" s="160" t="s">
        <v>461</v>
      </c>
    </row>
    <row r="21">
      <c r="A21" s="163"/>
      <c r="B21" s="41" t="s">
        <v>13</v>
      </c>
      <c r="C21" s="41" t="s">
        <v>462</v>
      </c>
      <c r="D21" s="73"/>
      <c r="E21" s="73"/>
      <c r="F21" s="73"/>
      <c r="G21" s="73"/>
      <c r="H21" s="164"/>
    </row>
    <row r="22">
      <c r="A22" s="159" t="s">
        <v>471</v>
      </c>
      <c r="B22" s="40" t="s">
        <v>15</v>
      </c>
      <c r="C22" s="40" t="s">
        <v>16</v>
      </c>
      <c r="D22" s="40" t="s">
        <v>17</v>
      </c>
      <c r="E22" s="40" t="s">
        <v>18</v>
      </c>
      <c r="F22" s="40" t="s">
        <v>19</v>
      </c>
      <c r="G22" s="40" t="s">
        <v>20</v>
      </c>
      <c r="H22" s="165"/>
    </row>
    <row r="23">
      <c r="A23" s="163"/>
      <c r="B23" s="48"/>
      <c r="C23" s="47">
        <v>98.0</v>
      </c>
      <c r="D23" s="53">
        <v>101.0</v>
      </c>
      <c r="E23" s="53">
        <v>104.0</v>
      </c>
      <c r="F23" s="53">
        <v>107.0</v>
      </c>
      <c r="G23" s="48"/>
      <c r="H23" s="166"/>
    </row>
    <row r="24">
      <c r="A24" s="159" t="s">
        <v>21</v>
      </c>
      <c r="B24" s="40" t="s">
        <v>22</v>
      </c>
      <c r="C24" s="40" t="s">
        <v>23</v>
      </c>
      <c r="D24" s="40" t="s">
        <v>24</v>
      </c>
      <c r="E24" s="40" t="s">
        <v>25</v>
      </c>
      <c r="F24" s="40" t="s">
        <v>26</v>
      </c>
      <c r="G24" s="40" t="s">
        <v>27</v>
      </c>
      <c r="H24" s="165"/>
    </row>
    <row r="25">
      <c r="A25" s="163"/>
      <c r="B25" s="53" t="s">
        <v>463</v>
      </c>
      <c r="C25" s="53" t="s">
        <v>110</v>
      </c>
      <c r="D25" s="53" t="s">
        <v>300</v>
      </c>
      <c r="E25" s="53" t="s">
        <v>464</v>
      </c>
      <c r="F25" s="48"/>
      <c r="G25" s="48"/>
      <c r="H25" s="166"/>
    </row>
    <row r="26">
      <c r="A26" s="159" t="s">
        <v>28</v>
      </c>
      <c r="B26" s="33"/>
      <c r="C26" s="40" t="s">
        <v>15</v>
      </c>
      <c r="D26" s="40" t="s">
        <v>16</v>
      </c>
      <c r="E26" s="40" t="s">
        <v>17</v>
      </c>
      <c r="F26" s="40" t="s">
        <v>18</v>
      </c>
      <c r="G26" s="40" t="s">
        <v>19</v>
      </c>
      <c r="H26" s="160" t="s">
        <v>20</v>
      </c>
    </row>
    <row r="27">
      <c r="A27" s="161"/>
      <c r="B27" s="40" t="s">
        <v>30</v>
      </c>
      <c r="C27" s="33"/>
      <c r="D27" s="33"/>
      <c r="E27" s="149">
        <v>0.88</v>
      </c>
      <c r="F27" s="146">
        <v>0.86</v>
      </c>
      <c r="G27" s="175">
        <f>(21+20)/47</f>
        <v>0.8723404255</v>
      </c>
      <c r="H27" s="165"/>
    </row>
    <row r="28">
      <c r="A28" s="161"/>
      <c r="B28" s="40" t="s">
        <v>31</v>
      </c>
      <c r="C28" s="33"/>
      <c r="D28" s="33"/>
      <c r="E28" s="143">
        <v>0.885</v>
      </c>
      <c r="F28" s="33"/>
      <c r="G28" s="175">
        <f>(17+19)/43</f>
        <v>0.8372093023</v>
      </c>
      <c r="H28" s="165"/>
    </row>
    <row r="29">
      <c r="A29" s="163"/>
      <c r="B29" s="53" t="s">
        <v>32</v>
      </c>
      <c r="C29" s="48"/>
      <c r="D29" s="154">
        <v>0.8653</v>
      </c>
      <c r="E29" s="148">
        <v>0.961</v>
      </c>
      <c r="F29" s="53">
        <v>93.8</v>
      </c>
      <c r="G29" s="92">
        <f>(10+5+10+12)/(11+10+12+13)</f>
        <v>0.8043478261</v>
      </c>
      <c r="H29" s="166"/>
    </row>
    <row r="30">
      <c r="A30" s="167" t="s">
        <v>33</v>
      </c>
      <c r="C30" s="33"/>
      <c r="D30" s="33"/>
      <c r="E30" s="33"/>
      <c r="F30" s="33"/>
      <c r="G30" s="33"/>
      <c r="H30" s="165"/>
    </row>
    <row r="31">
      <c r="A31" s="167" t="s">
        <v>472</v>
      </c>
      <c r="H31" s="168"/>
    </row>
    <row r="32">
      <c r="A32" s="176"/>
      <c r="H32" s="168"/>
    </row>
    <row r="33">
      <c r="A33" s="176"/>
      <c r="H33" s="168"/>
    </row>
    <row r="34">
      <c r="A34" s="170"/>
      <c r="B34" s="171"/>
      <c r="C34" s="171"/>
      <c r="D34" s="171"/>
      <c r="E34" s="171"/>
      <c r="F34" s="171"/>
      <c r="G34" s="171"/>
      <c r="H34" s="172"/>
    </row>
    <row r="35">
      <c r="A35" s="33"/>
      <c r="B35" s="33"/>
      <c r="C35" s="33"/>
      <c r="D35" s="33"/>
      <c r="E35" s="33"/>
      <c r="F35" s="33"/>
      <c r="G35" s="33"/>
      <c r="H35" s="33"/>
    </row>
    <row r="36">
      <c r="A36" s="156" t="s">
        <v>473</v>
      </c>
      <c r="B36" s="157"/>
      <c r="C36" s="157"/>
      <c r="D36" s="157"/>
      <c r="E36" s="157"/>
      <c r="F36" s="157"/>
      <c r="G36" s="157"/>
      <c r="H36" s="158"/>
    </row>
    <row r="37">
      <c r="A37" s="159" t="s">
        <v>1</v>
      </c>
      <c r="B37" s="40" t="s">
        <v>2</v>
      </c>
      <c r="C37" s="40" t="s">
        <v>3</v>
      </c>
      <c r="D37" s="40" t="s">
        <v>4</v>
      </c>
      <c r="E37" s="40" t="s">
        <v>5</v>
      </c>
      <c r="F37" s="40" t="s">
        <v>6</v>
      </c>
      <c r="G37" s="40" t="s">
        <v>7</v>
      </c>
      <c r="H37" s="160" t="s">
        <v>8</v>
      </c>
    </row>
    <row r="38">
      <c r="A38" s="161"/>
      <c r="B38" s="145">
        <v>37672.0</v>
      </c>
      <c r="C38" s="40" t="s">
        <v>119</v>
      </c>
      <c r="D38" s="40" t="s">
        <v>119</v>
      </c>
      <c r="E38" s="40" t="s">
        <v>474</v>
      </c>
      <c r="F38" s="40" t="s">
        <v>475</v>
      </c>
      <c r="G38" s="40" t="s">
        <v>476</v>
      </c>
      <c r="H38" s="160" t="s">
        <v>477</v>
      </c>
    </row>
    <row r="39">
      <c r="A39" s="163"/>
      <c r="B39" s="41" t="s">
        <v>13</v>
      </c>
      <c r="C39" s="41" t="s">
        <v>478</v>
      </c>
      <c r="D39" s="73"/>
      <c r="E39" s="73"/>
      <c r="F39" s="73"/>
      <c r="G39" s="73"/>
      <c r="H39" s="164"/>
    </row>
    <row r="40">
      <c r="A40" s="159" t="s">
        <v>471</v>
      </c>
      <c r="B40" s="40" t="s">
        <v>15</v>
      </c>
      <c r="C40" s="40" t="s">
        <v>16</v>
      </c>
      <c r="D40" s="40" t="s">
        <v>17</v>
      </c>
      <c r="E40" s="40" t="s">
        <v>18</v>
      </c>
      <c r="F40" s="40" t="s">
        <v>19</v>
      </c>
      <c r="G40" s="40" t="s">
        <v>20</v>
      </c>
      <c r="H40" s="165"/>
    </row>
    <row r="41">
      <c r="A41" s="163"/>
      <c r="B41" s="48"/>
      <c r="C41" s="47">
        <v>98.0</v>
      </c>
      <c r="D41" s="53">
        <v>101.0</v>
      </c>
      <c r="E41" s="53">
        <v>104.0</v>
      </c>
      <c r="F41" s="48"/>
      <c r="G41" s="48"/>
      <c r="H41" s="166"/>
    </row>
    <row r="42">
      <c r="A42" s="159" t="s">
        <v>21</v>
      </c>
      <c r="B42" s="40" t="s">
        <v>22</v>
      </c>
      <c r="C42" s="40" t="s">
        <v>23</v>
      </c>
      <c r="D42" s="36" t="s">
        <v>24</v>
      </c>
      <c r="E42" s="40" t="s">
        <v>25</v>
      </c>
      <c r="F42" s="40" t="s">
        <v>26</v>
      </c>
      <c r="G42" s="40" t="s">
        <v>27</v>
      </c>
      <c r="H42" s="165"/>
    </row>
    <row r="43">
      <c r="A43" s="163"/>
      <c r="B43" s="48"/>
      <c r="C43" s="53" t="s">
        <v>479</v>
      </c>
      <c r="D43" s="53" t="s">
        <v>480</v>
      </c>
      <c r="E43" s="53" t="s">
        <v>481</v>
      </c>
      <c r="F43" s="53">
        <v>107.0</v>
      </c>
      <c r="G43" s="48"/>
      <c r="H43" s="166"/>
    </row>
    <row r="44">
      <c r="A44" s="159" t="s">
        <v>28</v>
      </c>
      <c r="B44" s="33"/>
      <c r="C44" s="40" t="s">
        <v>15</v>
      </c>
      <c r="D44" s="40" t="s">
        <v>16</v>
      </c>
      <c r="E44" s="40" t="s">
        <v>17</v>
      </c>
      <c r="F44" s="40" t="s">
        <v>18</v>
      </c>
      <c r="G44" s="40" t="s">
        <v>19</v>
      </c>
      <c r="H44" s="160" t="s">
        <v>20</v>
      </c>
    </row>
    <row r="45">
      <c r="A45" s="161"/>
      <c r="B45" s="40" t="s">
        <v>30</v>
      </c>
      <c r="C45" s="33"/>
      <c r="D45" s="33"/>
      <c r="E45" s="149">
        <v>0.34</v>
      </c>
      <c r="F45" s="146">
        <v>0.83</v>
      </c>
      <c r="G45" s="87">
        <f>(21+15)/47</f>
        <v>0.7659574468</v>
      </c>
      <c r="H45" s="165"/>
    </row>
    <row r="46">
      <c r="A46" s="161"/>
      <c r="B46" s="40" t="s">
        <v>31</v>
      </c>
      <c r="C46" s="33"/>
      <c r="D46" s="33"/>
      <c r="E46" s="146">
        <v>0.5</v>
      </c>
      <c r="F46" s="33"/>
      <c r="G46" s="87">
        <f>(17+18)/43</f>
        <v>0.8139534884</v>
      </c>
      <c r="H46" s="165"/>
    </row>
    <row r="47">
      <c r="A47" s="163"/>
      <c r="B47" s="53" t="s">
        <v>32</v>
      </c>
      <c r="C47" s="48"/>
      <c r="D47" s="154">
        <v>0.673</v>
      </c>
      <c r="E47" s="144">
        <v>0.48</v>
      </c>
      <c r="F47" s="53">
        <v>54.2</v>
      </c>
      <c r="G47" s="92">
        <f>(8+4+9+10)/(11+10+12+13)</f>
        <v>0.6739130435</v>
      </c>
      <c r="H47" s="166"/>
    </row>
    <row r="48">
      <c r="A48" s="167" t="s">
        <v>33</v>
      </c>
      <c r="C48" s="33"/>
      <c r="D48" s="33"/>
      <c r="E48" s="33"/>
      <c r="F48" s="33"/>
      <c r="G48" s="33"/>
      <c r="H48" s="165"/>
    </row>
    <row r="49">
      <c r="A49" s="167" t="s">
        <v>482</v>
      </c>
      <c r="H49" s="168"/>
    </row>
    <row r="50">
      <c r="A50" s="167" t="s">
        <v>483</v>
      </c>
      <c r="E50" s="33"/>
      <c r="F50" s="33"/>
      <c r="G50" s="33"/>
      <c r="H50" s="165"/>
    </row>
    <row r="51">
      <c r="A51" s="167" t="s">
        <v>484</v>
      </c>
      <c r="B51" s="33"/>
      <c r="C51" s="33"/>
      <c r="D51" s="33"/>
      <c r="E51" s="33"/>
      <c r="F51" s="33"/>
      <c r="G51" s="33"/>
      <c r="H51" s="165"/>
    </row>
    <row r="52">
      <c r="A52" s="170"/>
      <c r="B52" s="171"/>
      <c r="C52" s="171"/>
      <c r="D52" s="171"/>
      <c r="E52" s="171"/>
      <c r="F52" s="171"/>
      <c r="G52" s="171"/>
      <c r="H52" s="172"/>
    </row>
    <row r="53">
      <c r="A53" s="33"/>
      <c r="B53" s="33"/>
      <c r="C53" s="33"/>
      <c r="D53" s="33"/>
      <c r="E53" s="33"/>
      <c r="F53" s="33"/>
      <c r="G53" s="33"/>
      <c r="H53" s="33"/>
    </row>
    <row r="54">
      <c r="A54" s="156" t="s">
        <v>485</v>
      </c>
      <c r="B54" s="157"/>
      <c r="C54" s="157"/>
      <c r="D54" s="157"/>
      <c r="E54" s="157"/>
      <c r="F54" s="157"/>
      <c r="G54" s="157"/>
      <c r="H54" s="158"/>
    </row>
    <row r="55">
      <c r="A55" s="159" t="s">
        <v>1</v>
      </c>
      <c r="B55" s="40" t="s">
        <v>2</v>
      </c>
      <c r="C55" s="40" t="s">
        <v>3</v>
      </c>
      <c r="D55" s="40" t="s">
        <v>4</v>
      </c>
      <c r="E55" s="40" t="s">
        <v>5</v>
      </c>
      <c r="F55" s="40" t="s">
        <v>6</v>
      </c>
      <c r="G55" s="40" t="s">
        <v>7</v>
      </c>
      <c r="H55" s="160" t="s">
        <v>8</v>
      </c>
    </row>
    <row r="56">
      <c r="A56" s="161"/>
      <c r="B56" s="145">
        <v>37632.0</v>
      </c>
      <c r="C56" s="40" t="s">
        <v>119</v>
      </c>
      <c r="D56" s="40" t="s">
        <v>119</v>
      </c>
      <c r="E56" s="40" t="s">
        <v>486</v>
      </c>
      <c r="F56" s="40" t="s">
        <v>487</v>
      </c>
      <c r="G56" s="177" t="s">
        <v>488</v>
      </c>
      <c r="H56" s="160" t="s">
        <v>489</v>
      </c>
    </row>
    <row r="57">
      <c r="A57" s="163"/>
      <c r="B57" s="41" t="s">
        <v>13</v>
      </c>
      <c r="C57" s="41" t="s">
        <v>490</v>
      </c>
      <c r="D57" s="73"/>
      <c r="E57" s="73"/>
      <c r="F57" s="73"/>
      <c r="G57" s="73"/>
      <c r="H57" s="164"/>
    </row>
    <row r="58">
      <c r="A58" s="159" t="s">
        <v>471</v>
      </c>
      <c r="B58" s="40" t="s">
        <v>15</v>
      </c>
      <c r="C58" s="40" t="s">
        <v>16</v>
      </c>
      <c r="D58" s="40" t="s">
        <v>17</v>
      </c>
      <c r="E58" s="40" t="s">
        <v>18</v>
      </c>
      <c r="F58" s="40" t="s">
        <v>19</v>
      </c>
      <c r="G58" s="40" t="s">
        <v>20</v>
      </c>
      <c r="H58" s="165"/>
    </row>
    <row r="59">
      <c r="A59" s="163"/>
      <c r="B59" s="48"/>
      <c r="C59" s="47">
        <v>98.0</v>
      </c>
      <c r="D59" s="53">
        <v>101.0</v>
      </c>
      <c r="E59" s="53">
        <v>104.0</v>
      </c>
      <c r="F59" s="53">
        <v>107.0</v>
      </c>
      <c r="G59" s="48"/>
      <c r="H59" s="166"/>
    </row>
    <row r="60">
      <c r="A60" s="159" t="s">
        <v>21</v>
      </c>
      <c r="B60" s="40" t="s">
        <v>22</v>
      </c>
      <c r="C60" s="40" t="s">
        <v>23</v>
      </c>
      <c r="D60" s="36" t="s">
        <v>24</v>
      </c>
      <c r="E60" s="40" t="s">
        <v>25</v>
      </c>
      <c r="F60" s="40" t="s">
        <v>26</v>
      </c>
      <c r="G60" s="40" t="s">
        <v>27</v>
      </c>
      <c r="H60" s="165"/>
    </row>
    <row r="61">
      <c r="A61" s="163"/>
      <c r="B61" s="48"/>
      <c r="C61" s="53" t="s">
        <v>110</v>
      </c>
      <c r="D61" s="53" t="s">
        <v>491</v>
      </c>
      <c r="E61" s="53" t="s">
        <v>492</v>
      </c>
      <c r="F61" s="48"/>
      <c r="G61" s="48"/>
      <c r="H61" s="166"/>
    </row>
    <row r="62">
      <c r="A62" s="159" t="s">
        <v>28</v>
      </c>
      <c r="B62" s="33"/>
      <c r="C62" s="40" t="s">
        <v>15</v>
      </c>
      <c r="D62" s="40" t="s">
        <v>16</v>
      </c>
      <c r="E62" s="40" t="s">
        <v>17</v>
      </c>
      <c r="F62" s="40" t="s">
        <v>18</v>
      </c>
      <c r="G62" s="40" t="s">
        <v>19</v>
      </c>
      <c r="H62" s="160" t="s">
        <v>20</v>
      </c>
    </row>
    <row r="63">
      <c r="A63" s="161"/>
      <c r="B63" s="40" t="s">
        <v>30</v>
      </c>
      <c r="C63" s="33"/>
      <c r="D63" s="33"/>
      <c r="E63" s="149">
        <v>0.94</v>
      </c>
      <c r="F63" s="146">
        <v>0.55</v>
      </c>
      <c r="G63" s="143">
        <v>0.0</v>
      </c>
      <c r="H63" s="165"/>
    </row>
    <row r="64">
      <c r="A64" s="161"/>
      <c r="B64" s="40" t="s">
        <v>31</v>
      </c>
      <c r="C64" s="33"/>
      <c r="D64" s="33"/>
      <c r="E64" s="146">
        <v>0.846</v>
      </c>
      <c r="F64" s="33"/>
      <c r="G64" s="143">
        <v>0.0</v>
      </c>
      <c r="H64" s="165"/>
    </row>
    <row r="65">
      <c r="A65" s="163"/>
      <c r="B65" s="53" t="s">
        <v>32</v>
      </c>
      <c r="C65" s="48"/>
      <c r="D65" s="154">
        <v>0.923</v>
      </c>
      <c r="E65" s="148">
        <v>0.827</v>
      </c>
      <c r="F65" s="48"/>
      <c r="G65" s="48">
        <v>0.0</v>
      </c>
      <c r="H65" s="166"/>
    </row>
    <row r="66">
      <c r="A66" s="167" t="s">
        <v>33</v>
      </c>
      <c r="C66" s="33"/>
      <c r="D66" s="33"/>
      <c r="E66" s="33"/>
      <c r="F66" s="33"/>
      <c r="G66" s="33"/>
      <c r="H66" s="165"/>
    </row>
    <row r="67">
      <c r="A67" s="167" t="s">
        <v>493</v>
      </c>
      <c r="H67" s="168"/>
    </row>
    <row r="68">
      <c r="A68" s="167" t="s">
        <v>494</v>
      </c>
      <c r="C68" s="33"/>
      <c r="D68" s="33"/>
      <c r="E68" s="33"/>
      <c r="F68" s="33"/>
      <c r="G68" s="33"/>
      <c r="H68" s="165"/>
    </row>
    <row r="69">
      <c r="A69" s="169"/>
      <c r="B69" s="33"/>
      <c r="C69" s="33"/>
      <c r="D69" s="33"/>
      <c r="E69" s="33"/>
      <c r="F69" s="33"/>
      <c r="G69" s="33"/>
      <c r="H69" s="165"/>
    </row>
    <row r="70">
      <c r="A70" s="170"/>
      <c r="B70" s="171"/>
      <c r="C70" s="171"/>
      <c r="D70" s="171"/>
      <c r="E70" s="171"/>
      <c r="F70" s="171"/>
      <c r="G70" s="171"/>
      <c r="H70" s="172"/>
    </row>
    <row r="71">
      <c r="A71" s="33"/>
      <c r="B71" s="33"/>
      <c r="C71" s="33"/>
      <c r="D71" s="33"/>
      <c r="E71" s="33"/>
      <c r="F71" s="33"/>
      <c r="G71" s="33"/>
      <c r="H71" s="33"/>
    </row>
    <row r="72">
      <c r="A72" s="156" t="s">
        <v>495</v>
      </c>
      <c r="B72" s="157"/>
      <c r="C72" s="157"/>
      <c r="D72" s="157"/>
      <c r="E72" s="157"/>
      <c r="F72" s="157"/>
      <c r="G72" s="157"/>
      <c r="H72" s="158"/>
    </row>
    <row r="73">
      <c r="A73" s="159" t="s">
        <v>1</v>
      </c>
      <c r="B73" s="40" t="s">
        <v>2</v>
      </c>
      <c r="C73" s="40" t="s">
        <v>3</v>
      </c>
      <c r="D73" s="40" t="s">
        <v>4</v>
      </c>
      <c r="E73" s="40" t="s">
        <v>5</v>
      </c>
      <c r="F73" s="40" t="s">
        <v>6</v>
      </c>
      <c r="G73" s="40" t="s">
        <v>7</v>
      </c>
      <c r="H73" s="160" t="s">
        <v>8</v>
      </c>
    </row>
    <row r="74">
      <c r="A74" s="161"/>
      <c r="B74" s="178">
        <v>37569.0</v>
      </c>
      <c r="C74" s="134" t="s">
        <v>119</v>
      </c>
      <c r="D74" s="134" t="s">
        <v>119</v>
      </c>
      <c r="E74" s="134" t="s">
        <v>361</v>
      </c>
      <c r="F74" s="134" t="s">
        <v>362</v>
      </c>
      <c r="G74" s="179" t="s">
        <v>496</v>
      </c>
      <c r="H74" s="180" t="s">
        <v>497</v>
      </c>
    </row>
    <row r="75">
      <c r="A75" s="163"/>
      <c r="B75" s="41" t="s">
        <v>13</v>
      </c>
      <c r="C75" s="41" t="s">
        <v>498</v>
      </c>
      <c r="D75" s="73"/>
      <c r="E75" s="73"/>
      <c r="F75" s="73"/>
      <c r="G75" s="73"/>
      <c r="H75" s="164"/>
    </row>
    <row r="76">
      <c r="A76" s="159" t="s">
        <v>471</v>
      </c>
      <c r="B76" s="40" t="s">
        <v>15</v>
      </c>
      <c r="C76" s="40" t="s">
        <v>16</v>
      </c>
      <c r="D76" s="40" t="s">
        <v>17</v>
      </c>
      <c r="E76" s="40" t="s">
        <v>18</v>
      </c>
      <c r="F76" s="40" t="s">
        <v>19</v>
      </c>
      <c r="G76" s="40" t="s">
        <v>20</v>
      </c>
      <c r="H76" s="165"/>
    </row>
    <row r="77">
      <c r="A77" s="163"/>
      <c r="B77" s="48"/>
      <c r="C77" s="47">
        <v>98.0</v>
      </c>
      <c r="D77" s="53">
        <v>101.0</v>
      </c>
      <c r="E77" s="53">
        <v>104.0</v>
      </c>
      <c r="F77" s="53">
        <v>107.0</v>
      </c>
      <c r="G77" s="48"/>
      <c r="H77" s="166"/>
    </row>
    <row r="78">
      <c r="A78" s="159" t="s">
        <v>21</v>
      </c>
      <c r="B78" s="40" t="s">
        <v>22</v>
      </c>
      <c r="C78" s="40" t="s">
        <v>23</v>
      </c>
      <c r="D78" s="36" t="s">
        <v>24</v>
      </c>
      <c r="E78" s="40" t="s">
        <v>25</v>
      </c>
      <c r="F78" s="40" t="s">
        <v>26</v>
      </c>
      <c r="G78" s="40" t="s">
        <v>27</v>
      </c>
      <c r="H78" s="165"/>
    </row>
    <row r="79">
      <c r="A79" s="163"/>
      <c r="B79" s="48"/>
      <c r="C79" s="53" t="s">
        <v>401</v>
      </c>
      <c r="D79" s="53" t="s">
        <v>499</v>
      </c>
      <c r="E79" s="53" t="s">
        <v>492</v>
      </c>
      <c r="F79" s="48"/>
      <c r="G79" s="48"/>
      <c r="H79" s="166"/>
    </row>
    <row r="80">
      <c r="A80" s="159" t="s">
        <v>28</v>
      </c>
      <c r="B80" s="33"/>
      <c r="C80" s="40" t="s">
        <v>15</v>
      </c>
      <c r="D80" s="40" t="s">
        <v>16</v>
      </c>
      <c r="E80" s="40" t="s">
        <v>17</v>
      </c>
      <c r="F80" s="40" t="s">
        <v>18</v>
      </c>
      <c r="G80" s="40" t="s">
        <v>19</v>
      </c>
      <c r="H80" s="160" t="s">
        <v>20</v>
      </c>
    </row>
    <row r="81">
      <c r="A81" s="161"/>
      <c r="B81" s="40" t="s">
        <v>30</v>
      </c>
      <c r="C81" s="33"/>
      <c r="D81" s="33"/>
      <c r="E81" s="149">
        <v>0.6</v>
      </c>
      <c r="F81" s="146">
        <v>0.66</v>
      </c>
      <c r="G81" s="87">
        <f>(16+12)/47</f>
        <v>0.5957446809</v>
      </c>
      <c r="H81" s="165"/>
    </row>
    <row r="82">
      <c r="A82" s="161"/>
      <c r="B82" s="40" t="s">
        <v>31</v>
      </c>
      <c r="C82" s="33"/>
      <c r="D82" s="33"/>
      <c r="E82" s="143">
        <v>0.788</v>
      </c>
      <c r="F82" s="33"/>
      <c r="G82" s="87">
        <f>(13+16)/43</f>
        <v>0.6744186047</v>
      </c>
      <c r="H82" s="165"/>
    </row>
    <row r="83">
      <c r="A83" s="163"/>
      <c r="B83" s="53" t="s">
        <v>32</v>
      </c>
      <c r="C83" s="48"/>
      <c r="D83" s="154">
        <v>0.4423</v>
      </c>
      <c r="E83" s="148">
        <v>0.538</v>
      </c>
      <c r="F83" s="53">
        <v>77.1</v>
      </c>
      <c r="G83" s="92">
        <f>(10+10+11+13)/(11+10+12+13)</f>
        <v>0.9565217391</v>
      </c>
      <c r="H83" s="166"/>
    </row>
    <row r="84">
      <c r="A84" s="167" t="s">
        <v>33</v>
      </c>
      <c r="C84" s="33"/>
      <c r="D84" s="33"/>
      <c r="E84" s="33"/>
      <c r="F84" s="33"/>
      <c r="G84" s="33"/>
      <c r="H84" s="165"/>
    </row>
    <row r="85">
      <c r="A85" s="167" t="s">
        <v>444</v>
      </c>
      <c r="H85" s="168"/>
    </row>
    <row r="86">
      <c r="A86" s="167" t="s">
        <v>500</v>
      </c>
      <c r="D86" s="33"/>
      <c r="E86" s="33"/>
      <c r="F86" s="33"/>
      <c r="G86" s="33"/>
      <c r="H86" s="165"/>
    </row>
    <row r="87">
      <c r="A87" s="167" t="s">
        <v>501</v>
      </c>
      <c r="D87" s="33"/>
      <c r="E87" s="33"/>
      <c r="F87" s="33"/>
      <c r="G87" s="33"/>
      <c r="H87" s="165"/>
    </row>
    <row r="88">
      <c r="A88" s="170"/>
      <c r="B88" s="171"/>
      <c r="C88" s="171"/>
      <c r="D88" s="171"/>
      <c r="E88" s="171"/>
      <c r="F88" s="171"/>
      <c r="G88" s="171"/>
      <c r="H88" s="172"/>
    </row>
    <row r="89">
      <c r="A89" s="33"/>
      <c r="B89" s="33"/>
      <c r="C89" s="33"/>
      <c r="D89" s="33"/>
      <c r="E89" s="33"/>
      <c r="F89" s="33"/>
      <c r="G89" s="33"/>
      <c r="H89" s="33"/>
    </row>
    <row r="90">
      <c r="A90" s="181" t="s">
        <v>502</v>
      </c>
      <c r="B90" s="182"/>
      <c r="C90" s="182"/>
      <c r="D90" s="182"/>
      <c r="E90" s="182"/>
      <c r="F90" s="182"/>
      <c r="G90" s="182"/>
      <c r="H90" s="183"/>
    </row>
    <row r="91">
      <c r="A91" s="184" t="s">
        <v>503</v>
      </c>
      <c r="B91" s="185" t="s">
        <v>2</v>
      </c>
      <c r="C91" s="185" t="s">
        <v>504</v>
      </c>
      <c r="D91" s="185" t="s">
        <v>505</v>
      </c>
      <c r="E91" s="185" t="s">
        <v>506</v>
      </c>
      <c r="F91" s="185" t="s">
        <v>507</v>
      </c>
      <c r="G91" s="185" t="s">
        <v>7</v>
      </c>
      <c r="H91" s="186" t="s">
        <v>8</v>
      </c>
    </row>
    <row r="92">
      <c r="A92" s="187"/>
      <c r="B92" s="188">
        <v>37848.0</v>
      </c>
      <c r="C92" s="189" t="s">
        <v>119</v>
      </c>
      <c r="D92" s="190" t="s">
        <v>119</v>
      </c>
      <c r="E92" s="134" t="s">
        <v>508</v>
      </c>
      <c r="F92" s="134" t="s">
        <v>509</v>
      </c>
      <c r="G92" s="191" t="s">
        <v>510</v>
      </c>
      <c r="H92" s="192" t="s">
        <v>511</v>
      </c>
    </row>
    <row r="93">
      <c r="A93" s="193"/>
      <c r="B93" s="194" t="s">
        <v>13</v>
      </c>
      <c r="C93" s="195" t="s">
        <v>512</v>
      </c>
      <c r="D93" s="73"/>
      <c r="E93" s="73"/>
      <c r="F93" s="73"/>
      <c r="G93" s="73"/>
      <c r="H93" s="153"/>
    </row>
    <row r="94">
      <c r="A94" s="196" t="s">
        <v>471</v>
      </c>
      <c r="B94" s="197" t="s">
        <v>15</v>
      </c>
      <c r="C94" s="185" t="s">
        <v>16</v>
      </c>
      <c r="D94" s="185" t="s">
        <v>17</v>
      </c>
      <c r="E94" s="185" t="s">
        <v>18</v>
      </c>
      <c r="F94" s="185" t="s">
        <v>19</v>
      </c>
      <c r="G94" s="185" t="s">
        <v>20</v>
      </c>
      <c r="H94" s="186"/>
    </row>
    <row r="95">
      <c r="A95" s="193"/>
      <c r="B95" s="198"/>
      <c r="C95" s="198"/>
      <c r="D95" s="199"/>
      <c r="E95" s="198"/>
      <c r="F95" s="200">
        <v>107.0</v>
      </c>
      <c r="G95" s="198"/>
      <c r="H95" s="201"/>
    </row>
    <row r="96">
      <c r="A96" s="184" t="s">
        <v>21</v>
      </c>
      <c r="B96" s="197" t="s">
        <v>22</v>
      </c>
      <c r="C96" s="185" t="s">
        <v>23</v>
      </c>
      <c r="D96" s="185" t="s">
        <v>24</v>
      </c>
      <c r="E96" s="185" t="s">
        <v>25</v>
      </c>
      <c r="F96" s="185" t="s">
        <v>26</v>
      </c>
      <c r="G96" s="185" t="s">
        <v>27</v>
      </c>
      <c r="H96" s="186"/>
    </row>
    <row r="97">
      <c r="A97" s="193"/>
      <c r="B97" s="198"/>
      <c r="C97" s="198"/>
      <c r="D97" s="198"/>
      <c r="E97" s="200" t="s">
        <v>513</v>
      </c>
      <c r="F97" s="198"/>
      <c r="G97" s="198"/>
      <c r="H97" s="201"/>
    </row>
    <row r="98">
      <c r="A98" s="184" t="s">
        <v>28</v>
      </c>
      <c r="B98" s="185"/>
      <c r="C98" s="197" t="s">
        <v>15</v>
      </c>
      <c r="D98" s="185" t="s">
        <v>16</v>
      </c>
      <c r="E98" s="185" t="s">
        <v>17</v>
      </c>
      <c r="F98" s="185" t="s">
        <v>18</v>
      </c>
      <c r="G98" s="185" t="s">
        <v>19</v>
      </c>
      <c r="H98" s="186" t="s">
        <v>20</v>
      </c>
    </row>
    <row r="99">
      <c r="A99" s="187"/>
      <c r="B99" s="173" t="s">
        <v>30</v>
      </c>
      <c r="C99" s="173"/>
      <c r="D99" s="173"/>
      <c r="E99" s="202"/>
      <c r="F99" s="203"/>
      <c r="G99" s="175">
        <f>(17+12)/47</f>
        <v>0.6170212766</v>
      </c>
      <c r="H99" s="204"/>
    </row>
    <row r="100">
      <c r="A100" s="187"/>
      <c r="B100" s="173" t="s">
        <v>31</v>
      </c>
      <c r="C100" s="173"/>
      <c r="D100" s="173"/>
      <c r="E100" s="202"/>
      <c r="F100" s="203"/>
      <c r="G100" s="175">
        <f>(12+20)/43</f>
        <v>0.7441860465</v>
      </c>
      <c r="H100" s="204"/>
    </row>
    <row r="101">
      <c r="A101" s="193"/>
      <c r="B101" s="198" t="s">
        <v>32</v>
      </c>
      <c r="C101" s="198"/>
      <c r="D101" s="198"/>
      <c r="E101" s="205"/>
      <c r="F101" s="206"/>
      <c r="G101" s="207">
        <f>(8+8+10+13)/(11+10+12+13)</f>
        <v>0.847826087</v>
      </c>
      <c r="H101" s="201"/>
    </row>
    <row r="102">
      <c r="A102" s="208" t="s">
        <v>33</v>
      </c>
      <c r="B102" s="173"/>
      <c r="C102" s="173"/>
      <c r="D102" s="173"/>
      <c r="E102" s="173"/>
      <c r="F102" s="173"/>
      <c r="G102" s="173"/>
      <c r="H102" s="204"/>
    </row>
    <row r="103">
      <c r="A103" s="209" t="s">
        <v>514</v>
      </c>
      <c r="H103" s="210"/>
    </row>
    <row r="104">
      <c r="A104" s="211"/>
      <c r="B104" s="173"/>
      <c r="C104" s="173"/>
      <c r="D104" s="173"/>
      <c r="E104" s="173"/>
      <c r="F104" s="173"/>
      <c r="G104" s="173"/>
      <c r="H104" s="204"/>
    </row>
    <row r="105">
      <c r="A105" s="211"/>
      <c r="B105" s="173"/>
      <c r="C105" s="173"/>
      <c r="D105" s="173"/>
      <c r="E105" s="173"/>
      <c r="F105" s="173"/>
      <c r="G105" s="173"/>
      <c r="H105" s="204"/>
    </row>
    <row r="106">
      <c r="A106" s="212"/>
      <c r="B106" s="198"/>
      <c r="C106" s="198"/>
      <c r="D106" s="198"/>
      <c r="E106" s="198"/>
      <c r="F106" s="198"/>
      <c r="G106" s="198"/>
      <c r="H106" s="201"/>
    </row>
    <row r="109">
      <c r="A109" s="99" t="s">
        <v>515</v>
      </c>
      <c r="B109" s="43"/>
      <c r="C109" s="43"/>
      <c r="D109" s="43"/>
      <c r="E109" s="43"/>
      <c r="F109" s="43"/>
      <c r="G109" s="43"/>
      <c r="H109" s="44"/>
    </row>
    <row r="110">
      <c r="A110" s="45" t="s">
        <v>1</v>
      </c>
      <c r="B110" s="40" t="s">
        <v>2</v>
      </c>
      <c r="C110" s="40" t="s">
        <v>3</v>
      </c>
      <c r="D110" s="40" t="s">
        <v>4</v>
      </c>
      <c r="E110" s="40" t="s">
        <v>5</v>
      </c>
      <c r="F110" s="40" t="s">
        <v>6</v>
      </c>
      <c r="G110" s="40" t="s">
        <v>7</v>
      </c>
      <c r="H110" s="51" t="s">
        <v>8</v>
      </c>
    </row>
    <row r="111">
      <c r="A111" s="6"/>
      <c r="B111" s="145">
        <v>38069.0</v>
      </c>
      <c r="C111" s="40" t="s">
        <v>119</v>
      </c>
      <c r="D111" s="40" t="s">
        <v>469</v>
      </c>
      <c r="E111" s="40" t="s">
        <v>516</v>
      </c>
      <c r="F111" s="40" t="s">
        <v>517</v>
      </c>
      <c r="G111" s="40" t="s">
        <v>518</v>
      </c>
      <c r="H111" s="51">
        <v>9.89230007E8</v>
      </c>
    </row>
    <row r="112">
      <c r="A112" s="12"/>
      <c r="B112" s="41" t="s">
        <v>13</v>
      </c>
      <c r="C112" s="41" t="s">
        <v>519</v>
      </c>
      <c r="D112" s="73"/>
      <c r="E112" s="73"/>
      <c r="F112" s="73"/>
      <c r="G112" s="73"/>
      <c r="H112" s="153"/>
    </row>
    <row r="113">
      <c r="A113" s="45" t="s">
        <v>14</v>
      </c>
      <c r="B113" s="40" t="s">
        <v>15</v>
      </c>
      <c r="C113" s="40" t="s">
        <v>16</v>
      </c>
      <c r="D113" s="40" t="s">
        <v>17</v>
      </c>
      <c r="E113" s="40" t="s">
        <v>18</v>
      </c>
      <c r="F113" s="40" t="s">
        <v>19</v>
      </c>
      <c r="G113" s="40" t="s">
        <v>20</v>
      </c>
      <c r="H113" s="46"/>
    </row>
    <row r="114">
      <c r="A114" s="12"/>
      <c r="B114" s="48"/>
      <c r="C114" s="53">
        <v>99.0</v>
      </c>
      <c r="D114" s="40">
        <v>102.0</v>
      </c>
      <c r="E114" s="53">
        <v>105.0</v>
      </c>
      <c r="F114" s="53">
        <v>108.0</v>
      </c>
      <c r="G114" s="48"/>
      <c r="H114" s="49"/>
    </row>
    <row r="115">
      <c r="A115" s="45" t="s">
        <v>21</v>
      </c>
      <c r="B115" s="40" t="s">
        <v>22</v>
      </c>
      <c r="C115" s="40" t="s">
        <v>23</v>
      </c>
      <c r="D115" s="36" t="s">
        <v>24</v>
      </c>
      <c r="E115" s="40" t="s">
        <v>25</v>
      </c>
      <c r="F115" s="40" t="s">
        <v>26</v>
      </c>
      <c r="G115" s="40" t="s">
        <v>27</v>
      </c>
      <c r="H115" s="46"/>
    </row>
    <row r="116">
      <c r="A116" s="12"/>
      <c r="B116" s="53" t="s">
        <v>520</v>
      </c>
      <c r="C116" s="53" t="s">
        <v>521</v>
      </c>
      <c r="D116" s="53" t="s">
        <v>521</v>
      </c>
      <c r="E116" s="53" t="s">
        <v>521</v>
      </c>
      <c r="F116" s="53" t="s">
        <v>522</v>
      </c>
      <c r="G116" s="48"/>
      <c r="H116" s="49"/>
    </row>
    <row r="117">
      <c r="A117" s="45" t="s">
        <v>28</v>
      </c>
      <c r="B117" s="33"/>
      <c r="C117" s="40" t="s">
        <v>15</v>
      </c>
      <c r="D117" s="40" t="s">
        <v>16</v>
      </c>
      <c r="E117" s="40" t="s">
        <v>17</v>
      </c>
      <c r="F117" s="40" t="s">
        <v>18</v>
      </c>
      <c r="G117" s="40" t="s">
        <v>19</v>
      </c>
      <c r="H117" s="51" t="s">
        <v>20</v>
      </c>
    </row>
    <row r="118">
      <c r="A118" s="6"/>
      <c r="B118" s="40" t="s">
        <v>30</v>
      </c>
      <c r="C118" s="33"/>
      <c r="D118" s="33"/>
      <c r="E118" s="143">
        <v>0.731</v>
      </c>
      <c r="F118" s="33"/>
      <c r="G118" s="143">
        <f>(18+20)/43</f>
        <v>0.8837209302</v>
      </c>
      <c r="H118" s="46"/>
    </row>
    <row r="119">
      <c r="A119" s="6"/>
      <c r="B119" s="40" t="s">
        <v>31</v>
      </c>
      <c r="C119" s="33"/>
      <c r="D119" s="149">
        <v>0.5</v>
      </c>
      <c r="E119" s="143">
        <v>0.769</v>
      </c>
      <c r="F119" s="33"/>
      <c r="G119" s="87">
        <f>(11+11+11+13)/(11+11+12+13)</f>
        <v>0.9787234043</v>
      </c>
      <c r="H119" s="46"/>
    </row>
    <row r="120">
      <c r="A120" s="12"/>
      <c r="B120" s="53" t="s">
        <v>32</v>
      </c>
      <c r="C120" s="48"/>
      <c r="D120" s="48"/>
      <c r="E120" s="48"/>
      <c r="F120" s="48"/>
      <c r="G120" s="92">
        <f>(10+11+18)/49</f>
        <v>0.7959183673</v>
      </c>
      <c r="H120" s="49"/>
    </row>
    <row r="121">
      <c r="A121" s="54" t="s">
        <v>33</v>
      </c>
      <c r="C121" s="33"/>
      <c r="D121" s="33"/>
      <c r="E121" s="33"/>
      <c r="F121" s="33"/>
      <c r="G121" s="33"/>
      <c r="H121" s="46"/>
    </row>
    <row r="122">
      <c r="A122" s="167" t="s">
        <v>523</v>
      </c>
      <c r="H122" s="168"/>
    </row>
    <row r="123">
      <c r="A123" s="169"/>
      <c r="B123" s="33"/>
      <c r="C123" s="33"/>
      <c r="D123" s="33"/>
      <c r="E123" s="33"/>
      <c r="F123" s="33"/>
      <c r="G123" s="33"/>
      <c r="H123" s="165"/>
    </row>
    <row r="124">
      <c r="A124" s="170"/>
      <c r="B124" s="171"/>
      <c r="C124" s="171"/>
      <c r="D124" s="171"/>
      <c r="E124" s="171"/>
      <c r="F124" s="171"/>
      <c r="G124" s="171"/>
      <c r="H124" s="172"/>
    </row>
    <row r="125">
      <c r="A125" s="33"/>
      <c r="B125" s="33"/>
      <c r="C125" s="33"/>
      <c r="D125" s="33"/>
      <c r="E125" s="33"/>
      <c r="F125" s="33"/>
      <c r="G125" s="33"/>
      <c r="H125" s="33"/>
    </row>
    <row r="126">
      <c r="A126" s="156" t="s">
        <v>524</v>
      </c>
      <c r="B126" s="157"/>
      <c r="C126" s="157"/>
      <c r="D126" s="157"/>
      <c r="E126" s="157"/>
      <c r="F126" s="157"/>
      <c r="G126" s="157"/>
      <c r="H126" s="158"/>
    </row>
    <row r="127">
      <c r="A127" s="159" t="s">
        <v>1</v>
      </c>
      <c r="B127" s="40" t="s">
        <v>2</v>
      </c>
      <c r="C127" s="40" t="s">
        <v>3</v>
      </c>
      <c r="D127" s="40" t="s">
        <v>4</v>
      </c>
      <c r="E127" s="40" t="s">
        <v>5</v>
      </c>
      <c r="F127" s="40" t="s">
        <v>6</v>
      </c>
      <c r="G127" s="40" t="s">
        <v>7</v>
      </c>
      <c r="H127" s="160" t="s">
        <v>8</v>
      </c>
    </row>
    <row r="128">
      <c r="A128" s="161"/>
      <c r="B128" s="33"/>
      <c r="C128" s="40" t="s">
        <v>119</v>
      </c>
      <c r="D128" s="40" t="s">
        <v>119</v>
      </c>
      <c r="E128" s="40" t="s">
        <v>438</v>
      </c>
      <c r="F128" s="40" t="s">
        <v>439</v>
      </c>
      <c r="G128" s="40" t="s">
        <v>440</v>
      </c>
      <c r="H128" s="162" t="s">
        <v>441</v>
      </c>
    </row>
    <row r="129">
      <c r="A129" s="163"/>
      <c r="B129" s="41" t="s">
        <v>13</v>
      </c>
      <c r="C129" s="41" t="s">
        <v>442</v>
      </c>
      <c r="D129" s="73"/>
      <c r="E129" s="73"/>
      <c r="F129" s="73"/>
      <c r="G129" s="73"/>
      <c r="H129" s="164"/>
    </row>
    <row r="130">
      <c r="A130" s="159" t="s">
        <v>14</v>
      </c>
      <c r="B130" s="40" t="s">
        <v>15</v>
      </c>
      <c r="C130" s="40" t="s">
        <v>16</v>
      </c>
      <c r="D130" s="40" t="s">
        <v>17</v>
      </c>
      <c r="E130" s="40" t="s">
        <v>18</v>
      </c>
      <c r="F130" s="40" t="s">
        <v>19</v>
      </c>
      <c r="G130" s="40" t="s">
        <v>20</v>
      </c>
      <c r="H130" s="165"/>
    </row>
    <row r="131">
      <c r="A131" s="163"/>
      <c r="B131" s="48"/>
      <c r="C131" s="47"/>
      <c r="D131" s="53">
        <v>101.0</v>
      </c>
      <c r="E131" s="53">
        <v>104.0</v>
      </c>
      <c r="F131" s="53">
        <v>108.0</v>
      </c>
      <c r="G131" s="48"/>
      <c r="H131" s="166"/>
    </row>
    <row r="132">
      <c r="A132" s="159" t="s">
        <v>21</v>
      </c>
      <c r="B132" s="40" t="s">
        <v>22</v>
      </c>
      <c r="C132" s="40" t="s">
        <v>23</v>
      </c>
      <c r="D132" s="36" t="s">
        <v>24</v>
      </c>
      <c r="E132" s="40" t="s">
        <v>25</v>
      </c>
      <c r="F132" s="40" t="s">
        <v>26</v>
      </c>
      <c r="G132" s="40" t="s">
        <v>27</v>
      </c>
      <c r="H132" s="165"/>
    </row>
    <row r="133">
      <c r="A133" s="163"/>
      <c r="B133" s="48"/>
      <c r="C133" s="53" t="s">
        <v>525</v>
      </c>
      <c r="D133" s="53" t="s">
        <v>525</v>
      </c>
      <c r="E133" s="53" t="s">
        <v>492</v>
      </c>
      <c r="F133" s="53" t="s">
        <v>526</v>
      </c>
      <c r="G133" s="48"/>
      <c r="H133" s="166"/>
    </row>
    <row r="134">
      <c r="A134" s="159" t="s">
        <v>28</v>
      </c>
      <c r="B134" s="33"/>
      <c r="C134" s="40" t="s">
        <v>15</v>
      </c>
      <c r="D134" s="40" t="s">
        <v>16</v>
      </c>
      <c r="E134" s="40" t="s">
        <v>17</v>
      </c>
      <c r="F134" s="40" t="s">
        <v>18</v>
      </c>
      <c r="G134" s="40" t="s">
        <v>19</v>
      </c>
      <c r="H134" s="160" t="s">
        <v>20</v>
      </c>
    </row>
    <row r="135">
      <c r="A135" s="161"/>
      <c r="B135" s="40" t="s">
        <v>30</v>
      </c>
      <c r="C135" s="33"/>
      <c r="D135" s="33"/>
      <c r="E135" s="149"/>
      <c r="F135" s="33"/>
      <c r="G135" s="143">
        <f>(6+2)/43</f>
        <v>0.1860465116</v>
      </c>
      <c r="H135" s="165"/>
    </row>
    <row r="136">
      <c r="A136" s="161"/>
      <c r="B136" s="40" t="s">
        <v>31</v>
      </c>
      <c r="C136" s="33"/>
      <c r="D136" s="33"/>
      <c r="E136" s="33"/>
      <c r="F136" s="33"/>
      <c r="G136" s="87">
        <f>(1+2+3+1)/(11+11+12+13)</f>
        <v>0.1489361702</v>
      </c>
      <c r="H136" s="165"/>
    </row>
    <row r="137">
      <c r="A137" s="163"/>
      <c r="B137" s="53" t="s">
        <v>32</v>
      </c>
      <c r="C137" s="48"/>
      <c r="D137" s="154"/>
      <c r="E137" s="48"/>
      <c r="F137" s="48"/>
      <c r="G137" s="92">
        <f>(3+16)/49</f>
        <v>0.387755102</v>
      </c>
      <c r="H137" s="166"/>
    </row>
    <row r="138">
      <c r="A138" s="167" t="s">
        <v>33</v>
      </c>
      <c r="C138" s="33"/>
      <c r="D138" s="33"/>
      <c r="E138" s="33"/>
      <c r="F138" s="33"/>
      <c r="G138" s="33"/>
      <c r="H138" s="165"/>
    </row>
    <row r="139">
      <c r="A139" s="167" t="s">
        <v>444</v>
      </c>
      <c r="H139" s="168"/>
    </row>
    <row r="140">
      <c r="A140" s="213" t="s">
        <v>527</v>
      </c>
      <c r="B140" s="40"/>
      <c r="C140" s="40"/>
      <c r="D140" s="33"/>
      <c r="E140" s="33"/>
      <c r="F140" s="33"/>
      <c r="G140" s="33"/>
      <c r="H140" s="165"/>
    </row>
    <row r="141">
      <c r="A141" s="167"/>
      <c r="D141" s="33"/>
      <c r="E141" s="33"/>
      <c r="F141" s="33"/>
      <c r="G141" s="33"/>
      <c r="H141" s="165"/>
    </row>
    <row r="142">
      <c r="A142" s="170"/>
      <c r="B142" s="171"/>
      <c r="C142" s="171"/>
      <c r="D142" s="171"/>
      <c r="E142" s="171"/>
      <c r="F142" s="171"/>
      <c r="G142" s="171"/>
      <c r="H142" s="172"/>
    </row>
  </sheetData>
  <mergeCells count="61">
    <mergeCell ref="A73:A75"/>
    <mergeCell ref="C75:H75"/>
    <mergeCell ref="A76:A77"/>
    <mergeCell ref="A78:A79"/>
    <mergeCell ref="A80:A83"/>
    <mergeCell ref="A84:B84"/>
    <mergeCell ref="A85:H85"/>
    <mergeCell ref="A86:C86"/>
    <mergeCell ref="A87:C87"/>
    <mergeCell ref="A91:A93"/>
    <mergeCell ref="C93:H93"/>
    <mergeCell ref="A94:A95"/>
    <mergeCell ref="A96:A97"/>
    <mergeCell ref="A103:H103"/>
    <mergeCell ref="C21:H21"/>
    <mergeCell ref="A31:H31"/>
    <mergeCell ref="C39:H39"/>
    <mergeCell ref="A2:A4"/>
    <mergeCell ref="C4:H4"/>
    <mergeCell ref="A5:A6"/>
    <mergeCell ref="A7:A8"/>
    <mergeCell ref="A14:H14"/>
    <mergeCell ref="A15:C15"/>
    <mergeCell ref="A16:C16"/>
    <mergeCell ref="A40:A41"/>
    <mergeCell ref="A42:A43"/>
    <mergeCell ref="A44:A47"/>
    <mergeCell ref="A48:B48"/>
    <mergeCell ref="A49:H49"/>
    <mergeCell ref="A50:D50"/>
    <mergeCell ref="C57:H57"/>
    <mergeCell ref="A9:A12"/>
    <mergeCell ref="A19:A21"/>
    <mergeCell ref="A22:A23"/>
    <mergeCell ref="A24:A25"/>
    <mergeCell ref="A26:A29"/>
    <mergeCell ref="A30:B30"/>
    <mergeCell ref="A37:A39"/>
    <mergeCell ref="A55:A57"/>
    <mergeCell ref="A58:A59"/>
    <mergeCell ref="A60:A61"/>
    <mergeCell ref="A62:A65"/>
    <mergeCell ref="A66:B66"/>
    <mergeCell ref="A67:H67"/>
    <mergeCell ref="A68:B68"/>
    <mergeCell ref="C112:H112"/>
    <mergeCell ref="A122:H122"/>
    <mergeCell ref="C129:H129"/>
    <mergeCell ref="A130:A131"/>
    <mergeCell ref="A132:A133"/>
    <mergeCell ref="A134:A137"/>
    <mergeCell ref="A138:B138"/>
    <mergeCell ref="A139:H139"/>
    <mergeCell ref="A141:C141"/>
    <mergeCell ref="A98:A101"/>
    <mergeCell ref="A110:A112"/>
    <mergeCell ref="A113:A114"/>
    <mergeCell ref="A115:A116"/>
    <mergeCell ref="A117:A120"/>
    <mergeCell ref="A121:B121"/>
    <mergeCell ref="A127:A129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1.22" defaultRowHeight="15.0"/>
  <cols>
    <col customWidth="1" min="1" max="8" width="12.33"/>
  </cols>
  <sheetData>
    <row r="1">
      <c r="A1" s="99" t="s">
        <v>528</v>
      </c>
      <c r="B1" s="43"/>
      <c r="C1" s="43"/>
      <c r="D1" s="43"/>
      <c r="E1" s="43"/>
      <c r="F1" s="43"/>
      <c r="G1" s="43"/>
      <c r="H1" s="44"/>
    </row>
    <row r="2">
      <c r="A2" s="45" t="s">
        <v>1</v>
      </c>
      <c r="B2" s="40" t="s">
        <v>2</v>
      </c>
      <c r="C2" s="40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51" t="s">
        <v>8</v>
      </c>
    </row>
    <row r="3">
      <c r="A3" s="6"/>
      <c r="B3" s="40" t="s">
        <v>529</v>
      </c>
      <c r="C3" s="40" t="s">
        <v>237</v>
      </c>
      <c r="D3" s="40" t="s">
        <v>237</v>
      </c>
      <c r="E3" s="40" t="s">
        <v>530</v>
      </c>
      <c r="F3" s="40" t="s">
        <v>531</v>
      </c>
      <c r="G3" s="40" t="s">
        <v>532</v>
      </c>
      <c r="H3" s="51" t="s">
        <v>533</v>
      </c>
    </row>
    <row r="4">
      <c r="A4" s="12"/>
      <c r="B4" s="41" t="s">
        <v>13</v>
      </c>
      <c r="C4" s="41" t="s">
        <v>534</v>
      </c>
      <c r="D4" s="73"/>
      <c r="E4" s="73"/>
      <c r="F4" s="73"/>
      <c r="G4" s="43"/>
      <c r="H4" s="44"/>
    </row>
    <row r="5">
      <c r="A5" s="45" t="s">
        <v>14</v>
      </c>
      <c r="B5" s="40" t="s">
        <v>15</v>
      </c>
      <c r="C5" s="40" t="s">
        <v>16</v>
      </c>
      <c r="D5" s="40" t="s">
        <v>17</v>
      </c>
      <c r="E5" s="40" t="s">
        <v>18</v>
      </c>
      <c r="F5" s="40" t="s">
        <v>19</v>
      </c>
      <c r="G5" s="40" t="s">
        <v>20</v>
      </c>
      <c r="H5" s="46"/>
    </row>
    <row r="6">
      <c r="A6" s="12"/>
      <c r="B6" s="48"/>
      <c r="C6" s="53">
        <v>90.9</v>
      </c>
      <c r="D6" s="53">
        <v>93.9</v>
      </c>
      <c r="E6" s="53">
        <v>96.9</v>
      </c>
      <c r="F6" s="53">
        <v>99.9</v>
      </c>
      <c r="G6" s="48"/>
      <c r="H6" s="49"/>
    </row>
    <row r="7">
      <c r="A7" s="45" t="s">
        <v>21</v>
      </c>
      <c r="B7" s="40" t="s">
        <v>22</v>
      </c>
      <c r="C7" s="40" t="s">
        <v>23</v>
      </c>
      <c r="D7" s="40" t="s">
        <v>24</v>
      </c>
      <c r="E7" s="40" t="s">
        <v>25</v>
      </c>
      <c r="F7" s="40" t="s">
        <v>26</v>
      </c>
      <c r="G7" s="40" t="s">
        <v>27</v>
      </c>
      <c r="H7" s="46"/>
    </row>
    <row r="8">
      <c r="A8" s="12"/>
      <c r="B8" s="53" t="s">
        <v>535</v>
      </c>
      <c r="C8" s="53" t="s">
        <v>233</v>
      </c>
      <c r="D8" s="53" t="s">
        <v>536</v>
      </c>
      <c r="E8" s="53" t="s">
        <v>537</v>
      </c>
      <c r="F8" s="53" t="s">
        <v>538</v>
      </c>
      <c r="G8" s="109"/>
      <c r="H8" s="49"/>
    </row>
    <row r="9">
      <c r="A9" s="45" t="s">
        <v>28</v>
      </c>
      <c r="B9" s="33"/>
      <c r="C9" s="40" t="s">
        <v>15</v>
      </c>
      <c r="D9" s="40" t="s">
        <v>16</v>
      </c>
      <c r="E9" s="40" t="s">
        <v>17</v>
      </c>
      <c r="F9" s="40" t="s">
        <v>18</v>
      </c>
      <c r="G9" s="40" t="s">
        <v>19</v>
      </c>
      <c r="H9" s="51" t="s">
        <v>20</v>
      </c>
    </row>
    <row r="10">
      <c r="A10" s="6"/>
      <c r="B10" s="40" t="s">
        <v>30</v>
      </c>
      <c r="C10" s="33"/>
      <c r="D10" s="33"/>
      <c r="E10" s="33"/>
      <c r="F10" s="33"/>
      <c r="G10" s="52">
        <v>95.8</v>
      </c>
      <c r="H10" s="46"/>
    </row>
    <row r="11">
      <c r="A11" s="6"/>
      <c r="B11" s="40" t="s">
        <v>31</v>
      </c>
      <c r="C11" s="33"/>
      <c r="D11" s="33"/>
      <c r="E11" s="33"/>
      <c r="F11" s="33"/>
      <c r="G11" s="33"/>
      <c r="H11" s="46"/>
    </row>
    <row r="12">
      <c r="A12" s="12"/>
      <c r="B12" s="53" t="s">
        <v>32</v>
      </c>
      <c r="C12" s="48"/>
      <c r="D12" s="48"/>
      <c r="E12" s="48"/>
      <c r="F12" s="48"/>
      <c r="G12" s="48"/>
      <c r="H12" s="49"/>
    </row>
    <row r="13">
      <c r="A13" s="54" t="s">
        <v>33</v>
      </c>
      <c r="B13" s="33"/>
      <c r="C13" s="33"/>
      <c r="D13" s="33"/>
      <c r="E13" s="33"/>
      <c r="F13" s="33"/>
      <c r="G13" s="33"/>
      <c r="H13" s="46"/>
    </row>
    <row r="14">
      <c r="A14" s="55"/>
      <c r="B14" s="33"/>
      <c r="C14" s="33"/>
      <c r="D14" s="33"/>
      <c r="E14" s="33"/>
      <c r="F14" s="33"/>
      <c r="G14" s="33"/>
      <c r="H14" s="46"/>
    </row>
    <row r="15">
      <c r="A15" s="55"/>
      <c r="B15" s="33"/>
      <c r="C15" s="33"/>
      <c r="D15" s="33"/>
      <c r="E15" s="33"/>
      <c r="F15" s="33"/>
      <c r="G15" s="33"/>
      <c r="H15" s="46"/>
    </row>
    <row r="16">
      <c r="A16" s="55"/>
      <c r="B16" s="33"/>
      <c r="C16" s="33"/>
      <c r="D16" s="33"/>
      <c r="E16" s="33"/>
      <c r="F16" s="33"/>
      <c r="G16" s="33"/>
      <c r="H16" s="46"/>
    </row>
    <row r="17">
      <c r="A17" s="56"/>
      <c r="B17" s="48"/>
      <c r="C17" s="48"/>
      <c r="D17" s="48"/>
      <c r="E17" s="48"/>
      <c r="F17" s="48"/>
      <c r="G17" s="48"/>
      <c r="H17" s="49"/>
    </row>
    <row r="20">
      <c r="A20" s="81" t="s">
        <v>539</v>
      </c>
      <c r="B20" s="48"/>
      <c r="C20" s="48"/>
      <c r="D20" s="48"/>
      <c r="E20" s="48"/>
      <c r="F20" s="48"/>
      <c r="G20" s="48"/>
      <c r="H20" s="49"/>
    </row>
    <row r="21">
      <c r="A21" s="45" t="s">
        <v>1</v>
      </c>
      <c r="B21" s="40" t="s">
        <v>2</v>
      </c>
      <c r="C21" s="40" t="s">
        <v>3</v>
      </c>
      <c r="D21" s="40" t="s">
        <v>4</v>
      </c>
      <c r="E21" s="40" t="s">
        <v>5</v>
      </c>
      <c r="F21" s="40" t="s">
        <v>6</v>
      </c>
      <c r="G21" s="40" t="s">
        <v>7</v>
      </c>
      <c r="H21" s="51" t="s">
        <v>8</v>
      </c>
    </row>
    <row r="22">
      <c r="A22" s="6"/>
      <c r="B22" s="145">
        <v>35132.0</v>
      </c>
      <c r="C22" s="40" t="s">
        <v>540</v>
      </c>
      <c r="D22" s="40" t="s">
        <v>540</v>
      </c>
      <c r="E22" s="40" t="s">
        <v>541</v>
      </c>
      <c r="F22" s="40" t="s">
        <v>542</v>
      </c>
      <c r="G22" s="52">
        <v>2.8207788E7</v>
      </c>
      <c r="H22" s="51">
        <v>9.33894079E8</v>
      </c>
    </row>
    <row r="23">
      <c r="A23" s="12"/>
      <c r="B23" s="41" t="s">
        <v>13</v>
      </c>
      <c r="C23" s="41" t="s">
        <v>543</v>
      </c>
      <c r="D23" s="73"/>
      <c r="E23" s="73"/>
      <c r="F23" s="73"/>
      <c r="G23" s="73"/>
      <c r="H23" s="153"/>
    </row>
    <row r="24">
      <c r="A24" s="45" t="s">
        <v>14</v>
      </c>
      <c r="B24" s="40" t="s">
        <v>15</v>
      </c>
      <c r="C24" s="40" t="s">
        <v>16</v>
      </c>
      <c r="D24" s="40" t="s">
        <v>17</v>
      </c>
      <c r="E24" s="40" t="s">
        <v>18</v>
      </c>
      <c r="F24" s="40" t="s">
        <v>19</v>
      </c>
      <c r="G24" s="40" t="s">
        <v>20</v>
      </c>
      <c r="H24" s="46"/>
    </row>
    <row r="25">
      <c r="A25" s="12"/>
      <c r="B25" s="48"/>
      <c r="C25" s="48"/>
      <c r="D25" s="33"/>
      <c r="E25" s="214">
        <v>40057.0</v>
      </c>
      <c r="F25" s="47">
        <v>2012.9</v>
      </c>
      <c r="G25" s="47">
        <v>2015.9</v>
      </c>
      <c r="H25" s="49"/>
    </row>
    <row r="26">
      <c r="A26" s="45" t="s">
        <v>21</v>
      </c>
      <c r="B26" s="40" t="s">
        <v>22</v>
      </c>
      <c r="C26" s="40" t="s">
        <v>23</v>
      </c>
      <c r="D26" s="36" t="s">
        <v>24</v>
      </c>
      <c r="E26" s="40" t="s">
        <v>25</v>
      </c>
      <c r="F26" s="40" t="s">
        <v>26</v>
      </c>
      <c r="G26" s="40" t="s">
        <v>27</v>
      </c>
      <c r="H26" s="46"/>
    </row>
    <row r="27">
      <c r="A27" s="12"/>
      <c r="B27" s="48"/>
      <c r="C27" s="53" t="s">
        <v>307</v>
      </c>
      <c r="D27" s="53" t="s">
        <v>307</v>
      </c>
      <c r="E27" s="53" t="s">
        <v>433</v>
      </c>
      <c r="F27" s="53" t="s">
        <v>544</v>
      </c>
      <c r="G27" s="48"/>
      <c r="H27" s="49"/>
    </row>
    <row r="28">
      <c r="A28" s="45" t="s">
        <v>28</v>
      </c>
      <c r="B28" s="33"/>
      <c r="C28" s="40" t="s">
        <v>15</v>
      </c>
      <c r="D28" s="40" t="s">
        <v>16</v>
      </c>
      <c r="E28" s="40" t="s">
        <v>17</v>
      </c>
      <c r="F28" s="40" t="s">
        <v>18</v>
      </c>
      <c r="G28" s="40" t="s">
        <v>19</v>
      </c>
      <c r="H28" s="51" t="s">
        <v>20</v>
      </c>
    </row>
    <row r="29">
      <c r="A29" s="6"/>
      <c r="B29" s="40" t="s">
        <v>30</v>
      </c>
      <c r="C29" s="33"/>
      <c r="D29" s="33"/>
      <c r="E29" s="33"/>
      <c r="F29" s="33"/>
      <c r="G29" s="52">
        <v>97.9</v>
      </c>
      <c r="H29" s="46"/>
    </row>
    <row r="30">
      <c r="A30" s="6"/>
      <c r="B30" s="40" t="s">
        <v>31</v>
      </c>
      <c r="C30" s="33"/>
      <c r="D30" s="33"/>
      <c r="E30" s="33"/>
      <c r="F30" s="33"/>
      <c r="G30" s="33"/>
      <c r="H30" s="46"/>
    </row>
    <row r="31">
      <c r="A31" s="12"/>
      <c r="B31" s="53" t="s">
        <v>32</v>
      </c>
      <c r="C31" s="48"/>
      <c r="D31" s="48"/>
      <c r="E31" s="48"/>
      <c r="F31" s="48"/>
      <c r="G31" s="92">
        <f>(9+13+12+11)/(9+13+12+13)</f>
        <v>0.9574468085</v>
      </c>
      <c r="H31" s="49"/>
    </row>
    <row r="32">
      <c r="A32" s="54" t="s">
        <v>33</v>
      </c>
      <c r="C32" s="33"/>
      <c r="D32" s="33"/>
      <c r="E32" s="33"/>
      <c r="F32" s="33"/>
      <c r="G32" s="33"/>
      <c r="H32" s="46"/>
    </row>
    <row r="33">
      <c r="A33" s="55"/>
      <c r="B33" s="33"/>
      <c r="C33" s="33"/>
      <c r="D33" s="33"/>
      <c r="E33" s="33"/>
      <c r="F33" s="33"/>
      <c r="G33" s="33"/>
      <c r="H33" s="46"/>
    </row>
    <row r="34">
      <c r="A34" s="55"/>
      <c r="B34" s="33"/>
      <c r="C34" s="33"/>
      <c r="D34" s="33"/>
      <c r="E34" s="33"/>
      <c r="F34" s="33"/>
      <c r="G34" s="33"/>
      <c r="H34" s="46"/>
    </row>
    <row r="35">
      <c r="A35" s="55"/>
      <c r="B35" s="33"/>
      <c r="C35" s="33"/>
      <c r="D35" s="33"/>
      <c r="E35" s="33"/>
      <c r="F35" s="33"/>
      <c r="G35" s="33"/>
      <c r="H35" s="46"/>
    </row>
    <row r="36">
      <c r="A36" s="56"/>
      <c r="B36" s="48"/>
      <c r="C36" s="48"/>
      <c r="D36" s="48"/>
      <c r="E36" s="48"/>
      <c r="F36" s="48"/>
      <c r="G36" s="48"/>
      <c r="H36" s="49"/>
    </row>
    <row r="37">
      <c r="A37" s="40"/>
      <c r="B37" s="33"/>
      <c r="C37" s="33"/>
      <c r="D37" s="33"/>
      <c r="E37" s="33"/>
      <c r="F37" s="33"/>
      <c r="G37" s="33"/>
      <c r="H37" s="33"/>
    </row>
    <row r="38">
      <c r="A38" s="40"/>
      <c r="B38" s="33"/>
      <c r="C38" s="33"/>
      <c r="D38" s="33"/>
      <c r="E38" s="33"/>
      <c r="F38" s="33"/>
      <c r="G38" s="33"/>
      <c r="H38" s="33"/>
    </row>
    <row r="39">
      <c r="A39" s="40"/>
      <c r="B39" s="33"/>
      <c r="C39" s="33"/>
      <c r="D39" s="33"/>
      <c r="E39" s="33"/>
      <c r="F39" s="33"/>
      <c r="G39" s="33"/>
      <c r="H39" s="33"/>
    </row>
    <row r="40">
      <c r="A40" s="40"/>
      <c r="B40" s="33"/>
      <c r="C40" s="33"/>
      <c r="D40" s="33"/>
      <c r="E40" s="33"/>
      <c r="F40" s="33"/>
      <c r="G40" s="33"/>
      <c r="H40" s="33"/>
    </row>
    <row r="41">
      <c r="A41" s="81"/>
      <c r="B41" s="48"/>
      <c r="C41" s="48"/>
      <c r="D41" s="48"/>
      <c r="E41" s="48"/>
      <c r="F41" s="48"/>
      <c r="G41" s="48"/>
      <c r="H41" s="43"/>
    </row>
    <row r="42">
      <c r="A42" s="99" t="s">
        <v>545</v>
      </c>
      <c r="B42" s="43"/>
      <c r="C42" s="43"/>
      <c r="D42" s="43"/>
      <c r="E42" s="43"/>
      <c r="F42" s="43"/>
      <c r="G42" s="43"/>
      <c r="H42" s="44"/>
    </row>
    <row r="43">
      <c r="A43" s="45" t="s">
        <v>1</v>
      </c>
      <c r="B43" s="40" t="s">
        <v>2</v>
      </c>
      <c r="C43" s="40" t="s">
        <v>3</v>
      </c>
      <c r="D43" s="40" t="s">
        <v>4</v>
      </c>
      <c r="E43" s="40" t="s">
        <v>5</v>
      </c>
      <c r="F43" s="40" t="s">
        <v>6</v>
      </c>
      <c r="G43" s="40" t="s">
        <v>7</v>
      </c>
      <c r="H43" s="51" t="s">
        <v>8</v>
      </c>
    </row>
    <row r="44">
      <c r="A44" s="215"/>
      <c r="B44" s="145">
        <v>34758.0</v>
      </c>
      <c r="C44" s="40" t="s">
        <v>237</v>
      </c>
      <c r="D44" s="40" t="s">
        <v>237</v>
      </c>
      <c r="E44" s="40" t="s">
        <v>546</v>
      </c>
      <c r="F44" s="40" t="s">
        <v>547</v>
      </c>
      <c r="G44" s="40">
        <v>9.2076905E8</v>
      </c>
      <c r="H44" s="51">
        <v>9.60769505E8</v>
      </c>
    </row>
    <row r="45">
      <c r="A45" s="216"/>
      <c r="B45" s="41" t="s">
        <v>13</v>
      </c>
      <c r="C45" s="41" t="s">
        <v>548</v>
      </c>
      <c r="D45" s="73"/>
      <c r="E45" s="73"/>
      <c r="F45" s="73"/>
      <c r="G45" s="73"/>
      <c r="H45" s="44"/>
    </row>
    <row r="46">
      <c r="A46" s="45" t="s">
        <v>14</v>
      </c>
      <c r="B46" s="40" t="s">
        <v>15</v>
      </c>
      <c r="C46" s="40" t="s">
        <v>16</v>
      </c>
      <c r="D46" s="40" t="s">
        <v>17</v>
      </c>
      <c r="E46" s="40" t="s">
        <v>18</v>
      </c>
      <c r="F46" s="40" t="s">
        <v>19</v>
      </c>
      <c r="G46" s="40" t="s">
        <v>20</v>
      </c>
      <c r="H46" s="46"/>
    </row>
    <row r="47">
      <c r="A47" s="216"/>
      <c r="B47" s="48"/>
      <c r="C47" s="53">
        <v>90.9</v>
      </c>
      <c r="D47" s="53">
        <v>93.9</v>
      </c>
      <c r="E47" s="53">
        <v>96.9</v>
      </c>
      <c r="F47" s="53">
        <v>99.9</v>
      </c>
      <c r="G47" s="47">
        <v>102.9</v>
      </c>
      <c r="H47" s="49"/>
    </row>
    <row r="48">
      <c r="A48" s="45" t="s">
        <v>21</v>
      </c>
      <c r="B48" s="40" t="s">
        <v>22</v>
      </c>
      <c r="C48" s="40" t="s">
        <v>23</v>
      </c>
      <c r="D48" s="40" t="s">
        <v>24</v>
      </c>
      <c r="E48" s="40" t="s">
        <v>25</v>
      </c>
      <c r="F48" s="40" t="s">
        <v>26</v>
      </c>
      <c r="G48" s="40" t="s">
        <v>27</v>
      </c>
      <c r="H48" s="46"/>
    </row>
    <row r="49">
      <c r="A49" s="216"/>
      <c r="B49" s="48"/>
      <c r="C49" s="48"/>
      <c r="D49" s="48"/>
      <c r="E49" s="48"/>
      <c r="F49" s="53" t="s">
        <v>376</v>
      </c>
      <c r="G49" s="48"/>
      <c r="H49" s="49"/>
    </row>
    <row r="50">
      <c r="A50" s="45" t="s">
        <v>28</v>
      </c>
      <c r="B50" s="33"/>
      <c r="C50" s="40" t="s">
        <v>15</v>
      </c>
      <c r="D50" s="40" t="s">
        <v>16</v>
      </c>
      <c r="E50" s="40" t="s">
        <v>17</v>
      </c>
      <c r="F50" s="40" t="s">
        <v>18</v>
      </c>
      <c r="G50" s="40" t="s">
        <v>19</v>
      </c>
      <c r="H50" s="51" t="s">
        <v>20</v>
      </c>
    </row>
    <row r="51">
      <c r="A51" s="215"/>
      <c r="B51" s="40" t="s">
        <v>30</v>
      </c>
      <c r="C51" s="33"/>
      <c r="D51" s="33"/>
      <c r="E51" s="33"/>
      <c r="F51" s="33"/>
      <c r="G51" s="52">
        <v>100.0</v>
      </c>
      <c r="H51" s="46"/>
    </row>
    <row r="52">
      <c r="A52" s="215"/>
      <c r="B52" s="40" t="s">
        <v>31</v>
      </c>
      <c r="C52" s="33"/>
      <c r="D52" s="33"/>
      <c r="E52" s="33"/>
      <c r="F52" s="33"/>
      <c r="G52" s="33"/>
      <c r="H52" s="46"/>
    </row>
    <row r="53">
      <c r="A53" s="216"/>
      <c r="B53" s="53" t="s">
        <v>32</v>
      </c>
      <c r="C53" s="48"/>
      <c r="D53" s="48"/>
      <c r="E53" s="48"/>
      <c r="F53" s="48"/>
      <c r="G53" s="48"/>
      <c r="H53" s="49"/>
    </row>
    <row r="54">
      <c r="A54" s="54" t="s">
        <v>33</v>
      </c>
      <c r="C54" s="33"/>
      <c r="D54" s="33"/>
      <c r="E54" s="33"/>
      <c r="F54" s="33"/>
      <c r="G54" s="33"/>
      <c r="H54" s="46"/>
    </row>
    <row r="55">
      <c r="A55" s="55"/>
      <c r="B55" s="33"/>
      <c r="C55" s="33"/>
      <c r="D55" s="33"/>
      <c r="E55" s="33"/>
      <c r="F55" s="33"/>
      <c r="G55" s="33"/>
      <c r="H55" s="46"/>
    </row>
    <row r="56">
      <c r="A56" s="55"/>
      <c r="B56" s="33"/>
      <c r="C56" s="33"/>
      <c r="D56" s="33"/>
      <c r="E56" s="33"/>
      <c r="F56" s="33"/>
      <c r="G56" s="33"/>
      <c r="H56" s="46"/>
    </row>
    <row r="57">
      <c r="A57" s="55"/>
      <c r="B57" s="33"/>
      <c r="C57" s="33"/>
      <c r="D57" s="33"/>
      <c r="E57" s="33"/>
      <c r="F57" s="33"/>
      <c r="G57" s="33"/>
      <c r="H57" s="46"/>
    </row>
    <row r="58">
      <c r="A58" s="56"/>
      <c r="B58" s="48"/>
      <c r="C58" s="48"/>
      <c r="D58" s="48"/>
      <c r="E58" s="48"/>
      <c r="F58" s="48"/>
      <c r="G58" s="48"/>
      <c r="H58" s="46"/>
    </row>
    <row r="59">
      <c r="A59" s="81"/>
      <c r="B59" s="48"/>
      <c r="C59" s="48"/>
      <c r="D59" s="48"/>
      <c r="E59" s="48"/>
      <c r="F59" s="48"/>
      <c r="G59" s="48"/>
      <c r="H59" s="43"/>
    </row>
    <row r="60">
      <c r="A60" s="81" t="s">
        <v>549</v>
      </c>
      <c r="B60" s="48"/>
      <c r="C60" s="48"/>
      <c r="D60" s="48"/>
      <c r="E60" s="48"/>
      <c r="F60" s="48"/>
      <c r="G60" s="48"/>
      <c r="H60" s="49"/>
    </row>
    <row r="61">
      <c r="A61" s="45" t="s">
        <v>1</v>
      </c>
      <c r="B61" s="40" t="s">
        <v>2</v>
      </c>
      <c r="C61" s="40" t="s">
        <v>3</v>
      </c>
      <c r="D61" s="40" t="s">
        <v>4</v>
      </c>
      <c r="E61" s="40" t="s">
        <v>5</v>
      </c>
      <c r="F61" s="40" t="s">
        <v>6</v>
      </c>
      <c r="G61" s="40" t="s">
        <v>7</v>
      </c>
      <c r="H61" s="51" t="s">
        <v>8</v>
      </c>
    </row>
    <row r="62">
      <c r="A62" s="215"/>
      <c r="B62" s="40">
        <v>35251.0</v>
      </c>
      <c r="C62" s="40" t="s">
        <v>540</v>
      </c>
      <c r="D62" s="40" t="s">
        <v>540</v>
      </c>
      <c r="E62" s="40" t="s">
        <v>550</v>
      </c>
      <c r="F62" s="40" t="s">
        <v>551</v>
      </c>
      <c r="G62" s="40" t="s">
        <v>552</v>
      </c>
      <c r="H62" s="51" t="s">
        <v>553</v>
      </c>
    </row>
    <row r="63">
      <c r="A63" s="216"/>
      <c r="B63" s="41" t="s">
        <v>13</v>
      </c>
      <c r="C63" s="217" t="s">
        <v>554</v>
      </c>
      <c r="D63" s="73"/>
      <c r="E63" s="73"/>
      <c r="F63" s="73"/>
      <c r="G63" s="73"/>
      <c r="H63" s="153"/>
    </row>
    <row r="64">
      <c r="A64" s="45" t="s">
        <v>14</v>
      </c>
      <c r="B64" s="40" t="s">
        <v>15</v>
      </c>
      <c r="C64" s="40" t="s">
        <v>16</v>
      </c>
      <c r="D64" s="40" t="s">
        <v>17</v>
      </c>
      <c r="E64" s="40" t="s">
        <v>18</v>
      </c>
      <c r="F64" s="40" t="s">
        <v>19</v>
      </c>
      <c r="G64" s="40" t="s">
        <v>20</v>
      </c>
      <c r="H64" s="46"/>
    </row>
    <row r="65">
      <c r="A65" s="216"/>
      <c r="B65" s="48"/>
      <c r="C65" s="218"/>
      <c r="D65" s="218"/>
      <c r="E65" s="214">
        <v>40057.0</v>
      </c>
      <c r="F65" s="47">
        <v>2012.9</v>
      </c>
      <c r="G65" s="219"/>
      <c r="H65" s="49"/>
    </row>
    <row r="66">
      <c r="A66" s="45" t="s">
        <v>21</v>
      </c>
      <c r="B66" s="40" t="s">
        <v>22</v>
      </c>
      <c r="C66" s="40" t="s">
        <v>23</v>
      </c>
      <c r="D66" s="40" t="s">
        <v>24</v>
      </c>
      <c r="E66" s="40" t="s">
        <v>25</v>
      </c>
      <c r="F66" s="40" t="s">
        <v>26</v>
      </c>
      <c r="G66" s="40" t="s">
        <v>27</v>
      </c>
      <c r="H66" s="46"/>
    </row>
    <row r="67">
      <c r="A67" s="216"/>
      <c r="B67" s="53" t="s">
        <v>555</v>
      </c>
      <c r="C67" s="53" t="s">
        <v>346</v>
      </c>
      <c r="D67" s="53" t="s">
        <v>346</v>
      </c>
      <c r="E67" s="53" t="s">
        <v>556</v>
      </c>
      <c r="F67" s="218"/>
      <c r="G67" s="48"/>
      <c r="H67" s="49"/>
    </row>
    <row r="68">
      <c r="A68" s="45" t="s">
        <v>28</v>
      </c>
      <c r="B68" s="33"/>
      <c r="C68" s="40" t="s">
        <v>15</v>
      </c>
      <c r="D68" s="40" t="s">
        <v>16</v>
      </c>
      <c r="E68" s="40" t="s">
        <v>17</v>
      </c>
      <c r="F68" s="40" t="s">
        <v>18</v>
      </c>
      <c r="G68" s="40" t="s">
        <v>19</v>
      </c>
      <c r="H68" s="51" t="s">
        <v>20</v>
      </c>
    </row>
    <row r="69">
      <c r="A69" s="215"/>
      <c r="B69" s="40" t="s">
        <v>30</v>
      </c>
      <c r="C69" s="33"/>
      <c r="D69" s="33"/>
      <c r="E69" s="33"/>
      <c r="F69" s="33"/>
      <c r="G69" s="52">
        <v>95.8</v>
      </c>
      <c r="H69" s="46"/>
    </row>
    <row r="70">
      <c r="A70" s="215"/>
      <c r="B70" s="40" t="s">
        <v>31</v>
      </c>
      <c r="C70" s="33"/>
      <c r="D70" s="33"/>
      <c r="E70" s="33"/>
      <c r="F70" s="33"/>
      <c r="G70" s="33"/>
      <c r="H70" s="46"/>
    </row>
    <row r="71">
      <c r="A71" s="216"/>
      <c r="B71" s="53" t="s">
        <v>32</v>
      </c>
      <c r="C71" s="48"/>
      <c r="D71" s="48"/>
      <c r="E71" s="48"/>
      <c r="F71" s="48"/>
      <c r="G71" s="92">
        <f>(9+13+12+12)/(9+13+12+13)</f>
        <v>0.9787234043</v>
      </c>
      <c r="H71" s="49"/>
    </row>
    <row r="72">
      <c r="A72" s="40" t="s">
        <v>33</v>
      </c>
      <c r="C72" s="33"/>
      <c r="D72" s="33"/>
      <c r="E72" s="33"/>
      <c r="F72" s="33"/>
      <c r="G72" s="33"/>
      <c r="H72" s="46"/>
    </row>
    <row r="73">
      <c r="A73" s="55"/>
      <c r="B73" s="33"/>
      <c r="C73" s="33"/>
      <c r="D73" s="33"/>
      <c r="E73" s="33"/>
      <c r="F73" s="33"/>
      <c r="G73" s="33"/>
      <c r="H73" s="46"/>
    </row>
    <row r="74">
      <c r="A74" s="55"/>
      <c r="B74" s="33"/>
      <c r="C74" s="33"/>
      <c r="D74" s="33"/>
      <c r="E74" s="33"/>
      <c r="F74" s="33"/>
      <c r="G74" s="33"/>
      <c r="H74" s="46"/>
    </row>
    <row r="75">
      <c r="A75" s="55"/>
      <c r="B75" s="33"/>
      <c r="C75" s="33"/>
      <c r="D75" s="33"/>
      <c r="E75" s="33"/>
      <c r="F75" s="33"/>
      <c r="G75" s="33"/>
      <c r="H75" s="46"/>
    </row>
    <row r="76">
      <c r="A76" s="56"/>
      <c r="B76" s="48"/>
      <c r="C76" s="48"/>
      <c r="D76" s="48"/>
      <c r="E76" s="48"/>
      <c r="F76" s="48"/>
      <c r="G76" s="48"/>
      <c r="H76" s="49"/>
    </row>
    <row r="78">
      <c r="A78" s="99" t="s">
        <v>557</v>
      </c>
      <c r="B78" s="43"/>
      <c r="C78" s="43"/>
      <c r="D78" s="43"/>
      <c r="E78" s="43"/>
      <c r="F78" s="43"/>
      <c r="G78" s="43"/>
      <c r="H78" s="44"/>
    </row>
    <row r="79">
      <c r="A79" s="45" t="s">
        <v>1</v>
      </c>
      <c r="B79" s="40" t="s">
        <v>2</v>
      </c>
      <c r="C79" s="40" t="s">
        <v>3</v>
      </c>
      <c r="D79" s="40" t="s">
        <v>4</v>
      </c>
      <c r="E79" s="40" t="s">
        <v>5</v>
      </c>
      <c r="F79" s="40" t="s">
        <v>6</v>
      </c>
      <c r="G79" s="40" t="s">
        <v>7</v>
      </c>
      <c r="H79" s="51" t="s">
        <v>8</v>
      </c>
    </row>
    <row r="80">
      <c r="A80" s="215"/>
      <c r="B80" s="40" t="s">
        <v>558</v>
      </c>
      <c r="C80" s="40" t="s">
        <v>237</v>
      </c>
      <c r="D80" s="40" t="s">
        <v>237</v>
      </c>
      <c r="E80" s="40" t="s">
        <v>559</v>
      </c>
      <c r="F80" s="40" t="s">
        <v>560</v>
      </c>
      <c r="G80" s="40" t="s">
        <v>561</v>
      </c>
      <c r="H80" s="51" t="s">
        <v>562</v>
      </c>
    </row>
    <row r="81">
      <c r="A81" s="216"/>
      <c r="B81" s="41" t="s">
        <v>13</v>
      </c>
      <c r="C81" s="41" t="s">
        <v>563</v>
      </c>
      <c r="D81" s="73"/>
      <c r="E81" s="73"/>
      <c r="F81" s="73"/>
      <c r="G81" s="43"/>
      <c r="H81" s="44"/>
    </row>
    <row r="82">
      <c r="A82" s="45" t="s">
        <v>14</v>
      </c>
      <c r="B82" s="40" t="s">
        <v>15</v>
      </c>
      <c r="C82" s="40" t="s">
        <v>16</v>
      </c>
      <c r="D82" s="40" t="s">
        <v>17</v>
      </c>
      <c r="E82" s="40" t="s">
        <v>18</v>
      </c>
      <c r="F82" s="40" t="s">
        <v>19</v>
      </c>
      <c r="G82" s="40" t="s">
        <v>20</v>
      </c>
      <c r="H82" s="46"/>
    </row>
    <row r="83">
      <c r="A83" s="216"/>
      <c r="B83" s="48"/>
      <c r="C83" s="53">
        <v>90.9</v>
      </c>
      <c r="D83" s="53">
        <v>93.9</v>
      </c>
      <c r="E83" s="53">
        <v>96.9</v>
      </c>
      <c r="F83" s="53">
        <v>99.9</v>
      </c>
      <c r="G83" s="47">
        <v>102.9</v>
      </c>
      <c r="H83" s="49"/>
    </row>
    <row r="84">
      <c r="A84" s="45" t="s">
        <v>21</v>
      </c>
      <c r="B84" s="40" t="s">
        <v>22</v>
      </c>
      <c r="C84" s="40" t="s">
        <v>23</v>
      </c>
      <c r="D84" s="40" t="s">
        <v>24</v>
      </c>
      <c r="E84" s="40" t="s">
        <v>25</v>
      </c>
      <c r="F84" s="40" t="s">
        <v>26</v>
      </c>
      <c r="G84" s="40" t="s">
        <v>27</v>
      </c>
      <c r="H84" s="46"/>
    </row>
    <row r="85">
      <c r="A85" s="216"/>
      <c r="B85" s="53" t="s">
        <v>564</v>
      </c>
      <c r="C85" s="53" t="s">
        <v>565</v>
      </c>
      <c r="D85" s="53" t="s">
        <v>536</v>
      </c>
      <c r="E85" s="53" t="s">
        <v>566</v>
      </c>
      <c r="F85" s="53" t="s">
        <v>567</v>
      </c>
      <c r="G85" s="48"/>
      <c r="H85" s="49"/>
    </row>
    <row r="86">
      <c r="A86" s="45" t="s">
        <v>28</v>
      </c>
      <c r="B86" s="33"/>
      <c r="C86" s="40" t="s">
        <v>15</v>
      </c>
      <c r="D86" s="40" t="s">
        <v>16</v>
      </c>
      <c r="E86" s="40" t="s">
        <v>17</v>
      </c>
      <c r="F86" s="40" t="s">
        <v>18</v>
      </c>
      <c r="G86" s="40" t="s">
        <v>19</v>
      </c>
      <c r="H86" s="51" t="s">
        <v>20</v>
      </c>
    </row>
    <row r="87">
      <c r="A87" s="215"/>
      <c r="B87" s="40" t="s">
        <v>30</v>
      </c>
      <c r="C87" s="33"/>
      <c r="D87" s="33"/>
      <c r="E87" s="33"/>
      <c r="F87" s="33"/>
      <c r="G87" s="52">
        <v>100.0</v>
      </c>
      <c r="H87" s="46"/>
    </row>
    <row r="88">
      <c r="A88" s="215"/>
      <c r="B88" s="40" t="s">
        <v>31</v>
      </c>
      <c r="C88" s="33"/>
      <c r="D88" s="33"/>
      <c r="E88" s="33"/>
      <c r="F88" s="33"/>
      <c r="G88" s="33"/>
      <c r="H88" s="46"/>
    </row>
    <row r="89">
      <c r="A89" s="216"/>
      <c r="B89" s="53" t="s">
        <v>32</v>
      </c>
      <c r="C89" s="48"/>
      <c r="D89" s="48"/>
      <c r="E89" s="48"/>
      <c r="F89" s="48"/>
      <c r="G89" s="92">
        <f>(10+12+12+9)/(10+12+12+9)</f>
        <v>1</v>
      </c>
      <c r="H89" s="49"/>
    </row>
    <row r="90">
      <c r="A90" s="54" t="s">
        <v>33</v>
      </c>
      <c r="C90" s="33"/>
      <c r="D90" s="33"/>
      <c r="E90" s="33"/>
      <c r="F90" s="33"/>
      <c r="G90" s="33"/>
      <c r="H90" s="46"/>
    </row>
    <row r="91">
      <c r="A91" s="55"/>
      <c r="B91" s="33"/>
      <c r="C91" s="33"/>
      <c r="D91" s="33"/>
      <c r="E91" s="33"/>
      <c r="F91" s="33"/>
      <c r="G91" s="33"/>
      <c r="H91" s="46"/>
    </row>
    <row r="92">
      <c r="A92" s="55"/>
      <c r="B92" s="33"/>
      <c r="C92" s="33"/>
      <c r="D92" s="33"/>
      <c r="E92" s="33"/>
      <c r="F92" s="33"/>
      <c r="G92" s="33"/>
      <c r="H92" s="46"/>
    </row>
    <row r="93">
      <c r="A93" s="55"/>
      <c r="B93" s="33"/>
      <c r="C93" s="33"/>
      <c r="D93" s="33"/>
      <c r="E93" s="33"/>
      <c r="F93" s="33"/>
      <c r="G93" s="33"/>
      <c r="H93" s="46"/>
    </row>
    <row r="94">
      <c r="A94" s="56"/>
      <c r="B94" s="48"/>
      <c r="C94" s="48"/>
      <c r="D94" s="48"/>
      <c r="E94" s="48"/>
      <c r="F94" s="48"/>
      <c r="G94" s="48"/>
      <c r="H94" s="46"/>
    </row>
    <row r="97">
      <c r="A97" s="99" t="s">
        <v>568</v>
      </c>
      <c r="B97" s="43"/>
      <c r="C97" s="43"/>
      <c r="D97" s="43"/>
      <c r="E97" s="43"/>
      <c r="F97" s="43"/>
      <c r="G97" s="43"/>
      <c r="H97" s="44"/>
      <c r="I97" s="33"/>
    </row>
    <row r="98">
      <c r="A98" s="45" t="s">
        <v>1</v>
      </c>
      <c r="B98" s="40" t="s">
        <v>2</v>
      </c>
      <c r="C98" s="40" t="s">
        <v>3</v>
      </c>
      <c r="D98" s="40" t="s">
        <v>4</v>
      </c>
      <c r="E98" s="40" t="s">
        <v>5</v>
      </c>
      <c r="F98" s="40" t="s">
        <v>6</v>
      </c>
      <c r="G98" s="40" t="s">
        <v>7</v>
      </c>
      <c r="H98" s="51" t="s">
        <v>8</v>
      </c>
      <c r="I98" s="33"/>
    </row>
    <row r="99">
      <c r="A99" s="215"/>
      <c r="B99" s="145">
        <v>35404.0</v>
      </c>
      <c r="C99" s="40" t="s">
        <v>540</v>
      </c>
      <c r="D99" s="40" t="s">
        <v>540</v>
      </c>
      <c r="E99" s="40" t="s">
        <v>569</v>
      </c>
      <c r="F99" s="40" t="s">
        <v>570</v>
      </c>
      <c r="G99" s="52">
        <v>2.8753275E7</v>
      </c>
      <c r="H99" s="51" t="s">
        <v>571</v>
      </c>
      <c r="I99" s="33"/>
    </row>
    <row r="100">
      <c r="A100" s="216"/>
      <c r="B100" s="41" t="s">
        <v>13</v>
      </c>
      <c r="C100" s="41" t="s">
        <v>572</v>
      </c>
      <c r="D100" s="73"/>
      <c r="E100" s="73"/>
      <c r="F100" s="73"/>
      <c r="G100" s="43"/>
      <c r="H100" s="44"/>
      <c r="I100" s="33"/>
    </row>
    <row r="101">
      <c r="A101" s="45" t="s">
        <v>14</v>
      </c>
      <c r="B101" s="40" t="s">
        <v>15</v>
      </c>
      <c r="C101" s="40" t="s">
        <v>16</v>
      </c>
      <c r="D101" s="40" t="s">
        <v>17</v>
      </c>
      <c r="E101" s="40" t="s">
        <v>18</v>
      </c>
      <c r="F101" s="40" t="s">
        <v>19</v>
      </c>
      <c r="G101" s="40" t="s">
        <v>20</v>
      </c>
      <c r="H101" s="46"/>
      <c r="I101" s="33"/>
    </row>
    <row r="102">
      <c r="A102" s="216"/>
      <c r="B102" s="48"/>
      <c r="C102" s="48"/>
      <c r="D102" s="33"/>
      <c r="E102" s="214">
        <v>40057.0</v>
      </c>
      <c r="F102" s="214">
        <v>40787.0</v>
      </c>
      <c r="G102" s="48"/>
      <c r="H102" s="49"/>
      <c r="I102" s="33"/>
    </row>
    <row r="103">
      <c r="A103" s="45" t="s">
        <v>21</v>
      </c>
      <c r="B103" s="40" t="s">
        <v>22</v>
      </c>
      <c r="C103" s="40" t="s">
        <v>23</v>
      </c>
      <c r="D103" s="36" t="s">
        <v>24</v>
      </c>
      <c r="E103" s="40" t="s">
        <v>25</v>
      </c>
      <c r="F103" s="40" t="s">
        <v>26</v>
      </c>
      <c r="G103" s="40" t="s">
        <v>27</v>
      </c>
      <c r="H103" s="46"/>
      <c r="I103" s="33"/>
    </row>
    <row r="104">
      <c r="A104" s="216"/>
      <c r="B104" s="48"/>
      <c r="C104" s="53" t="s">
        <v>573</v>
      </c>
      <c r="D104" s="53" t="s">
        <v>267</v>
      </c>
      <c r="E104" s="53" t="s">
        <v>574</v>
      </c>
      <c r="F104" s="53" t="s">
        <v>575</v>
      </c>
      <c r="G104" s="48"/>
      <c r="H104" s="49"/>
      <c r="I104" s="33"/>
    </row>
    <row r="105">
      <c r="A105" s="45" t="s">
        <v>28</v>
      </c>
      <c r="B105" s="33"/>
      <c r="C105" s="40" t="s">
        <v>15</v>
      </c>
      <c r="D105" s="40" t="s">
        <v>16</v>
      </c>
      <c r="E105" s="40" t="s">
        <v>17</v>
      </c>
      <c r="F105" s="40" t="s">
        <v>18</v>
      </c>
      <c r="G105" s="40" t="s">
        <v>19</v>
      </c>
      <c r="H105" s="51" t="s">
        <v>20</v>
      </c>
      <c r="I105" s="33"/>
    </row>
    <row r="106">
      <c r="A106" s="215"/>
      <c r="B106" s="40" t="s">
        <v>30</v>
      </c>
      <c r="C106" s="33"/>
      <c r="D106" s="33"/>
      <c r="E106" s="33"/>
      <c r="F106" s="33"/>
      <c r="G106" s="52">
        <v>87.5</v>
      </c>
      <c r="H106" s="46"/>
      <c r="I106" s="33"/>
    </row>
    <row r="107">
      <c r="A107" s="215"/>
      <c r="B107" s="40" t="s">
        <v>31</v>
      </c>
      <c r="C107" s="33"/>
      <c r="D107" s="33"/>
      <c r="E107" s="33"/>
      <c r="F107" s="33"/>
      <c r="G107" s="87">
        <f>(8+10+6+11)/(9+13+12+13)</f>
        <v>0.7446808511</v>
      </c>
      <c r="H107" s="46"/>
      <c r="I107" s="33"/>
    </row>
    <row r="108">
      <c r="A108" s="216"/>
      <c r="B108" s="53" t="s">
        <v>32</v>
      </c>
      <c r="C108" s="48"/>
      <c r="D108" s="48"/>
      <c r="E108" s="48"/>
      <c r="F108" s="48"/>
      <c r="G108" s="92">
        <f>(10+10+8+7)/(10+13+10+9)</f>
        <v>0.8333333333</v>
      </c>
      <c r="H108" s="49"/>
      <c r="I108" s="33"/>
    </row>
    <row r="109">
      <c r="A109" s="54" t="s">
        <v>33</v>
      </c>
      <c r="C109" s="33"/>
      <c r="D109" s="33"/>
      <c r="E109" s="33"/>
      <c r="F109" s="33"/>
      <c r="G109" s="33"/>
      <c r="H109" s="46"/>
      <c r="I109" s="33"/>
    </row>
    <row r="110">
      <c r="A110" s="54" t="s">
        <v>576</v>
      </c>
      <c r="D110" s="33"/>
      <c r="E110" s="33"/>
      <c r="F110" s="33"/>
      <c r="G110" s="33"/>
      <c r="H110" s="46"/>
      <c r="I110" s="33"/>
    </row>
    <row r="111">
      <c r="A111" s="55"/>
      <c r="B111" s="33"/>
      <c r="C111" s="33"/>
      <c r="D111" s="33"/>
      <c r="E111" s="33"/>
      <c r="F111" s="33"/>
      <c r="G111" s="33"/>
      <c r="H111" s="46"/>
      <c r="I111" s="33"/>
    </row>
    <row r="112">
      <c r="A112" s="55"/>
      <c r="B112" s="33"/>
      <c r="C112" s="33"/>
      <c r="D112" s="33"/>
      <c r="E112" s="33"/>
      <c r="F112" s="33"/>
      <c r="G112" s="33"/>
      <c r="H112" s="46"/>
      <c r="I112" s="33"/>
    </row>
    <row r="113">
      <c r="A113" s="56"/>
      <c r="B113" s="48"/>
      <c r="C113" s="48"/>
      <c r="D113" s="48"/>
      <c r="E113" s="48"/>
      <c r="F113" s="48"/>
      <c r="G113" s="48"/>
      <c r="H113" s="49"/>
      <c r="I113" s="33"/>
    </row>
    <row r="114">
      <c r="A114" s="33"/>
      <c r="B114" s="33"/>
      <c r="C114" s="33"/>
      <c r="D114" s="33"/>
      <c r="E114" s="33"/>
      <c r="F114" s="33"/>
      <c r="G114" s="33"/>
      <c r="H114" s="33"/>
      <c r="I114" s="33"/>
    </row>
    <row r="115">
      <c r="A115" s="99" t="s">
        <v>577</v>
      </c>
      <c r="B115" s="43"/>
      <c r="C115" s="43"/>
      <c r="D115" s="43"/>
      <c r="E115" s="43"/>
      <c r="F115" s="43"/>
      <c r="G115" s="43"/>
      <c r="H115" s="44"/>
      <c r="I115" s="33"/>
    </row>
    <row r="116">
      <c r="A116" s="45" t="s">
        <v>1</v>
      </c>
      <c r="B116" s="40" t="s">
        <v>2</v>
      </c>
      <c r="C116" s="40" t="s">
        <v>3</v>
      </c>
      <c r="D116" s="40" t="s">
        <v>4</v>
      </c>
      <c r="E116" s="40" t="s">
        <v>5</v>
      </c>
      <c r="F116" s="40" t="s">
        <v>6</v>
      </c>
      <c r="G116" s="40" t="s">
        <v>7</v>
      </c>
      <c r="H116" s="51" t="s">
        <v>8</v>
      </c>
      <c r="I116" s="33"/>
    </row>
    <row r="117">
      <c r="A117" s="215"/>
      <c r="B117" s="145">
        <v>35350.0</v>
      </c>
      <c r="C117" s="40" t="s">
        <v>540</v>
      </c>
      <c r="D117" s="40" t="s">
        <v>540</v>
      </c>
      <c r="E117" s="40" t="s">
        <v>578</v>
      </c>
      <c r="F117" s="40" t="s">
        <v>579</v>
      </c>
      <c r="G117" s="52">
        <v>2.6263577E7</v>
      </c>
      <c r="H117" s="51" t="s">
        <v>580</v>
      </c>
      <c r="I117" s="40" t="s">
        <v>581</v>
      </c>
    </row>
    <row r="118">
      <c r="A118" s="216"/>
      <c r="B118" s="41" t="s">
        <v>13</v>
      </c>
      <c r="C118" s="41" t="s">
        <v>582</v>
      </c>
      <c r="D118" s="73"/>
      <c r="E118" s="73"/>
      <c r="F118" s="73"/>
      <c r="G118" s="43"/>
      <c r="H118" s="44"/>
      <c r="I118" s="33"/>
    </row>
    <row r="119">
      <c r="A119" s="45" t="s">
        <v>14</v>
      </c>
      <c r="B119" s="40" t="s">
        <v>15</v>
      </c>
      <c r="C119" s="40" t="s">
        <v>16</v>
      </c>
      <c r="D119" s="40" t="s">
        <v>17</v>
      </c>
      <c r="E119" s="40" t="s">
        <v>18</v>
      </c>
      <c r="F119" s="40" t="s">
        <v>19</v>
      </c>
      <c r="G119" s="40" t="s">
        <v>20</v>
      </c>
      <c r="H119" s="46"/>
      <c r="I119" s="33"/>
    </row>
    <row r="120">
      <c r="A120" s="216"/>
      <c r="B120" s="48"/>
      <c r="C120" s="48"/>
      <c r="D120" s="33"/>
      <c r="E120" s="214">
        <v>40057.0</v>
      </c>
      <c r="F120" s="47">
        <v>2012.9</v>
      </c>
      <c r="G120" s="47">
        <v>2015.9</v>
      </c>
      <c r="H120" s="49"/>
      <c r="I120" s="33"/>
    </row>
    <row r="121">
      <c r="A121" s="45" t="s">
        <v>21</v>
      </c>
      <c r="B121" s="40" t="s">
        <v>22</v>
      </c>
      <c r="C121" s="40" t="s">
        <v>23</v>
      </c>
      <c r="D121" s="36" t="s">
        <v>24</v>
      </c>
      <c r="E121" s="40" t="s">
        <v>25</v>
      </c>
      <c r="F121" s="40" t="s">
        <v>26</v>
      </c>
      <c r="G121" s="40" t="s">
        <v>27</v>
      </c>
      <c r="H121" s="46"/>
      <c r="I121" s="33"/>
    </row>
    <row r="122">
      <c r="A122" s="216"/>
      <c r="B122" s="48"/>
      <c r="C122" s="53" t="s">
        <v>346</v>
      </c>
      <c r="D122" s="53" t="s">
        <v>346</v>
      </c>
      <c r="E122" s="53" t="s">
        <v>492</v>
      </c>
      <c r="F122" s="53" t="s">
        <v>583</v>
      </c>
      <c r="G122" s="48"/>
      <c r="H122" s="49"/>
      <c r="I122" s="33"/>
    </row>
    <row r="123">
      <c r="A123" s="45" t="s">
        <v>28</v>
      </c>
      <c r="B123" s="33"/>
      <c r="C123" s="40" t="s">
        <v>15</v>
      </c>
      <c r="D123" s="40" t="s">
        <v>16</v>
      </c>
      <c r="E123" s="40" t="s">
        <v>17</v>
      </c>
      <c r="F123" s="40" t="s">
        <v>18</v>
      </c>
      <c r="G123" s="40" t="s">
        <v>19</v>
      </c>
      <c r="H123" s="51" t="s">
        <v>20</v>
      </c>
      <c r="I123" s="33"/>
    </row>
    <row r="124">
      <c r="A124" s="215"/>
      <c r="B124" s="40" t="s">
        <v>30</v>
      </c>
      <c r="C124" s="33"/>
      <c r="D124" s="33"/>
      <c r="E124" s="33"/>
      <c r="F124" s="33"/>
      <c r="G124" s="52">
        <v>93.75</v>
      </c>
      <c r="H124" s="46"/>
      <c r="I124" s="33"/>
    </row>
    <row r="125">
      <c r="A125" s="215"/>
      <c r="B125" s="40" t="s">
        <v>31</v>
      </c>
      <c r="C125" s="33"/>
      <c r="D125" s="33"/>
      <c r="E125" s="33"/>
      <c r="F125" s="33"/>
      <c r="G125" s="87">
        <f>(8+10+12+13)/(9+13+12+13)</f>
        <v>0.914893617</v>
      </c>
      <c r="H125" s="46"/>
      <c r="I125" s="33"/>
    </row>
    <row r="126">
      <c r="A126" s="216"/>
      <c r="B126" s="53" t="s">
        <v>32</v>
      </c>
      <c r="C126" s="48"/>
      <c r="D126" s="48"/>
      <c r="E126" s="48"/>
      <c r="F126" s="48"/>
      <c r="G126" s="92">
        <f>(10+12+10+8)/(10+13+10+9)</f>
        <v>0.9523809524</v>
      </c>
      <c r="H126" s="49"/>
      <c r="I126" s="33"/>
    </row>
    <row r="127">
      <c r="A127" s="54" t="s">
        <v>33</v>
      </c>
      <c r="C127" s="33"/>
      <c r="D127" s="33"/>
      <c r="E127" s="33"/>
      <c r="F127" s="33"/>
      <c r="G127" s="33"/>
      <c r="H127" s="46"/>
      <c r="I127" s="33"/>
    </row>
    <row r="128">
      <c r="A128" s="55"/>
      <c r="B128" s="33"/>
      <c r="C128" s="33"/>
      <c r="D128" s="33"/>
      <c r="E128" s="33"/>
      <c r="F128" s="33"/>
      <c r="G128" s="33"/>
      <c r="H128" s="46"/>
      <c r="I128" s="33"/>
    </row>
    <row r="129">
      <c r="A129" s="55"/>
      <c r="B129" s="33"/>
      <c r="C129" s="33"/>
      <c r="D129" s="33"/>
      <c r="E129" s="33"/>
      <c r="F129" s="33"/>
      <c r="G129" s="33"/>
      <c r="H129" s="46"/>
      <c r="I129" s="33"/>
    </row>
    <row r="130">
      <c r="A130" s="55"/>
      <c r="B130" s="33"/>
      <c r="C130" s="33"/>
      <c r="D130" s="33"/>
      <c r="E130" s="33"/>
      <c r="F130" s="33"/>
      <c r="G130" s="33"/>
      <c r="H130" s="46"/>
      <c r="I130" s="33"/>
    </row>
    <row r="131">
      <c r="A131" s="56"/>
      <c r="B131" s="48"/>
      <c r="C131" s="48"/>
      <c r="D131" s="48"/>
      <c r="E131" s="48"/>
      <c r="F131" s="48"/>
      <c r="G131" s="48"/>
      <c r="H131" s="49"/>
      <c r="I131" s="33"/>
    </row>
    <row r="132">
      <c r="A132" s="33"/>
      <c r="B132" s="33"/>
      <c r="C132" s="33"/>
      <c r="D132" s="33"/>
      <c r="E132" s="33"/>
      <c r="F132" s="33"/>
      <c r="G132" s="33"/>
      <c r="H132" s="33"/>
      <c r="I132" s="33"/>
    </row>
    <row r="133">
      <c r="A133" s="99" t="s">
        <v>584</v>
      </c>
      <c r="B133" s="43"/>
      <c r="C133" s="43"/>
      <c r="D133" s="43"/>
      <c r="E133" s="43"/>
      <c r="F133" s="43"/>
      <c r="G133" s="43"/>
      <c r="H133" s="44"/>
      <c r="I133" s="33"/>
    </row>
    <row r="134">
      <c r="A134" s="45" t="s">
        <v>1</v>
      </c>
      <c r="B134" s="40" t="s">
        <v>2</v>
      </c>
      <c r="C134" s="40" t="s">
        <v>3</v>
      </c>
      <c r="D134" s="40" t="s">
        <v>4</v>
      </c>
      <c r="E134" s="40" t="s">
        <v>5</v>
      </c>
      <c r="F134" s="40" t="s">
        <v>6</v>
      </c>
      <c r="G134" s="40" t="s">
        <v>7</v>
      </c>
      <c r="H134" s="51" t="s">
        <v>8</v>
      </c>
      <c r="I134" s="33"/>
    </row>
    <row r="135">
      <c r="A135" s="215"/>
      <c r="B135" s="145">
        <v>35593.0</v>
      </c>
      <c r="C135" s="40" t="s">
        <v>540</v>
      </c>
      <c r="D135" s="40" t="s">
        <v>540</v>
      </c>
      <c r="E135" s="40" t="s">
        <v>585</v>
      </c>
      <c r="F135" s="40" t="s">
        <v>586</v>
      </c>
      <c r="G135" s="40">
        <v>9.86925939E8</v>
      </c>
      <c r="H135" s="51">
        <v>9.58533076E8</v>
      </c>
      <c r="I135" s="33"/>
    </row>
    <row r="136">
      <c r="A136" s="216"/>
      <c r="B136" s="41" t="s">
        <v>13</v>
      </c>
      <c r="C136" s="41" t="s">
        <v>587</v>
      </c>
      <c r="D136" s="73"/>
      <c r="E136" s="73"/>
      <c r="F136" s="43"/>
      <c r="G136" s="43"/>
      <c r="H136" s="44"/>
      <c r="I136" s="33"/>
    </row>
    <row r="137">
      <c r="A137" s="45" t="s">
        <v>14</v>
      </c>
      <c r="B137" s="40" t="s">
        <v>15</v>
      </c>
      <c r="C137" s="40" t="s">
        <v>16</v>
      </c>
      <c r="D137" s="40" t="s">
        <v>17</v>
      </c>
      <c r="E137" s="40" t="s">
        <v>18</v>
      </c>
      <c r="F137" s="40" t="s">
        <v>19</v>
      </c>
      <c r="G137" s="40" t="s">
        <v>20</v>
      </c>
      <c r="H137" s="46"/>
      <c r="I137" s="33"/>
    </row>
    <row r="138">
      <c r="A138" s="216"/>
      <c r="B138" s="48"/>
      <c r="C138" s="48"/>
      <c r="D138" s="33"/>
      <c r="E138" s="214">
        <v>40057.0</v>
      </c>
      <c r="F138" s="47">
        <v>2012.9</v>
      </c>
      <c r="G138" s="47">
        <v>2015.9</v>
      </c>
      <c r="H138" s="49"/>
      <c r="I138" s="33"/>
    </row>
    <row r="139">
      <c r="A139" s="45" t="s">
        <v>21</v>
      </c>
      <c r="B139" s="40" t="s">
        <v>22</v>
      </c>
      <c r="C139" s="40" t="s">
        <v>23</v>
      </c>
      <c r="D139" s="36" t="s">
        <v>24</v>
      </c>
      <c r="E139" s="40" t="s">
        <v>25</v>
      </c>
      <c r="F139" s="40" t="s">
        <v>26</v>
      </c>
      <c r="G139" s="40" t="s">
        <v>27</v>
      </c>
      <c r="H139" s="46"/>
      <c r="I139" s="33"/>
    </row>
    <row r="140">
      <c r="A140" s="216"/>
      <c r="B140" s="48"/>
      <c r="C140" s="53" t="s">
        <v>346</v>
      </c>
      <c r="D140" s="53" t="s">
        <v>346</v>
      </c>
      <c r="E140" s="53" t="s">
        <v>413</v>
      </c>
      <c r="F140" s="53" t="s">
        <v>588</v>
      </c>
      <c r="G140" s="48"/>
      <c r="H140" s="49"/>
      <c r="I140" s="33"/>
    </row>
    <row r="141">
      <c r="A141" s="45" t="s">
        <v>28</v>
      </c>
      <c r="B141" s="33"/>
      <c r="C141" s="40" t="s">
        <v>15</v>
      </c>
      <c r="D141" s="40" t="s">
        <v>16</v>
      </c>
      <c r="E141" s="40" t="s">
        <v>17</v>
      </c>
      <c r="F141" s="40" t="s">
        <v>18</v>
      </c>
      <c r="G141" s="40" t="s">
        <v>19</v>
      </c>
      <c r="H141" s="51" t="s">
        <v>20</v>
      </c>
      <c r="I141" s="33"/>
    </row>
    <row r="142">
      <c r="A142" s="215"/>
      <c r="B142" s="40" t="s">
        <v>30</v>
      </c>
      <c r="C142" s="33"/>
      <c r="D142" s="33"/>
      <c r="E142" s="33"/>
      <c r="F142" s="33"/>
      <c r="G142" s="52">
        <v>81.3</v>
      </c>
      <c r="H142" s="46"/>
      <c r="I142" s="33"/>
    </row>
    <row r="143">
      <c r="A143" s="215"/>
      <c r="B143" s="40" t="s">
        <v>31</v>
      </c>
      <c r="C143" s="33"/>
      <c r="D143" s="33"/>
      <c r="E143" s="33"/>
      <c r="F143" s="33"/>
      <c r="G143" s="87">
        <f>(9+12+12+13)/(9+13+12+13)</f>
        <v>0.9787234043</v>
      </c>
      <c r="H143" s="46"/>
      <c r="I143" s="33"/>
    </row>
    <row r="144">
      <c r="A144" s="216"/>
      <c r="B144" s="53" t="s">
        <v>32</v>
      </c>
      <c r="C144" s="48"/>
      <c r="D144" s="48"/>
      <c r="E144" s="48"/>
      <c r="F144" s="48"/>
      <c r="G144" s="92">
        <f>(10+12+9+9)/(10+13+10+9)</f>
        <v>0.9523809524</v>
      </c>
      <c r="H144" s="49"/>
      <c r="I144" s="33"/>
    </row>
    <row r="145">
      <c r="A145" s="54" t="s">
        <v>33</v>
      </c>
      <c r="C145" s="33"/>
      <c r="D145" s="33"/>
      <c r="E145" s="33"/>
      <c r="F145" s="33"/>
      <c r="G145" s="33"/>
      <c r="H145" s="46"/>
      <c r="I145" s="33"/>
    </row>
    <row r="146">
      <c r="A146" s="55"/>
      <c r="B146" s="33"/>
      <c r="C146" s="33"/>
      <c r="D146" s="33"/>
      <c r="E146" s="33"/>
      <c r="F146" s="33"/>
      <c r="G146" s="33"/>
      <c r="H146" s="46"/>
      <c r="I146" s="33"/>
    </row>
    <row r="147">
      <c r="A147" s="55"/>
      <c r="B147" s="33"/>
      <c r="C147" s="33"/>
      <c r="D147" s="33"/>
      <c r="E147" s="33"/>
      <c r="F147" s="33"/>
      <c r="G147" s="33"/>
      <c r="H147" s="46"/>
      <c r="I147" s="33"/>
    </row>
    <row r="148">
      <c r="A148" s="55"/>
      <c r="B148" s="33"/>
      <c r="C148" s="33"/>
      <c r="D148" s="33"/>
      <c r="E148" s="33"/>
      <c r="F148" s="33"/>
      <c r="G148" s="33"/>
      <c r="H148" s="46"/>
      <c r="I148" s="33"/>
    </row>
    <row r="149">
      <c r="A149" s="56"/>
      <c r="B149" s="48"/>
      <c r="C149" s="48"/>
      <c r="D149" s="48"/>
      <c r="E149" s="48"/>
      <c r="F149" s="48"/>
      <c r="G149" s="48"/>
      <c r="H149" s="49"/>
      <c r="I149" s="33"/>
    </row>
    <row r="150">
      <c r="A150" s="33"/>
      <c r="B150" s="33"/>
      <c r="C150" s="33"/>
      <c r="D150" s="33"/>
      <c r="E150" s="33"/>
      <c r="F150" s="33"/>
      <c r="G150" s="33"/>
      <c r="H150" s="33"/>
      <c r="I150" s="33"/>
    </row>
    <row r="151">
      <c r="A151" s="99" t="s">
        <v>589</v>
      </c>
      <c r="B151" s="43"/>
      <c r="C151" s="43"/>
      <c r="D151" s="43"/>
      <c r="E151" s="43"/>
      <c r="F151" s="43"/>
      <c r="G151" s="43"/>
      <c r="H151" s="44"/>
      <c r="I151" s="33"/>
    </row>
    <row r="152">
      <c r="A152" s="45" t="s">
        <v>1</v>
      </c>
      <c r="B152" s="40" t="s">
        <v>2</v>
      </c>
      <c r="C152" s="40" t="s">
        <v>3</v>
      </c>
      <c r="D152" s="40" t="s">
        <v>4</v>
      </c>
      <c r="E152" s="40" t="s">
        <v>5</v>
      </c>
      <c r="F152" s="40" t="s">
        <v>6</v>
      </c>
      <c r="G152" s="40" t="s">
        <v>7</v>
      </c>
      <c r="H152" s="51" t="s">
        <v>8</v>
      </c>
      <c r="I152" s="33"/>
    </row>
    <row r="153">
      <c r="A153" s="215"/>
      <c r="B153" s="145">
        <v>35524.0</v>
      </c>
      <c r="C153" s="40" t="s">
        <v>540</v>
      </c>
      <c r="D153" s="40" t="s">
        <v>540</v>
      </c>
      <c r="E153" s="40" t="s">
        <v>590</v>
      </c>
      <c r="F153" s="40" t="s">
        <v>591</v>
      </c>
      <c r="G153" s="52">
        <v>8.6312094E7</v>
      </c>
      <c r="H153" s="51" t="s">
        <v>592</v>
      </c>
      <c r="I153" s="33"/>
    </row>
    <row r="154">
      <c r="A154" s="216"/>
      <c r="B154" s="41" t="s">
        <v>13</v>
      </c>
      <c r="C154" s="41" t="s">
        <v>593</v>
      </c>
      <c r="D154" s="73"/>
      <c r="E154" s="73"/>
      <c r="F154" s="43"/>
      <c r="G154" s="43"/>
      <c r="H154" s="44"/>
      <c r="I154" s="33"/>
    </row>
    <row r="155">
      <c r="A155" s="45" t="s">
        <v>14</v>
      </c>
      <c r="B155" s="40" t="s">
        <v>15</v>
      </c>
      <c r="C155" s="40" t="s">
        <v>16</v>
      </c>
      <c r="D155" s="40" t="s">
        <v>17</v>
      </c>
      <c r="E155" s="40" t="s">
        <v>18</v>
      </c>
      <c r="F155" s="40" t="s">
        <v>19</v>
      </c>
      <c r="G155" s="40" t="s">
        <v>20</v>
      </c>
      <c r="H155" s="46"/>
      <c r="I155" s="33"/>
    </row>
    <row r="156">
      <c r="A156" s="216"/>
      <c r="B156" s="48"/>
      <c r="C156" s="48"/>
      <c r="D156" s="33"/>
      <c r="E156" s="214">
        <v>40057.0</v>
      </c>
      <c r="F156" s="47">
        <v>2012.9</v>
      </c>
      <c r="G156" s="47">
        <v>2015.9</v>
      </c>
      <c r="H156" s="49"/>
      <c r="I156" s="33"/>
    </row>
    <row r="157">
      <c r="A157" s="45" t="s">
        <v>21</v>
      </c>
      <c r="B157" s="40" t="s">
        <v>22</v>
      </c>
      <c r="C157" s="40" t="s">
        <v>23</v>
      </c>
      <c r="D157" s="36" t="s">
        <v>24</v>
      </c>
      <c r="E157" s="40" t="s">
        <v>25</v>
      </c>
      <c r="F157" s="40" t="s">
        <v>26</v>
      </c>
      <c r="G157" s="40" t="s">
        <v>27</v>
      </c>
      <c r="H157" s="46"/>
      <c r="I157" s="33"/>
    </row>
    <row r="158">
      <c r="A158" s="216"/>
      <c r="B158" s="48"/>
      <c r="C158" s="48"/>
      <c r="D158" s="53" t="s">
        <v>307</v>
      </c>
      <c r="E158" s="53" t="s">
        <v>287</v>
      </c>
      <c r="F158" s="53" t="s">
        <v>594</v>
      </c>
      <c r="G158" s="48"/>
      <c r="H158" s="49"/>
      <c r="I158" s="33"/>
    </row>
    <row r="159">
      <c r="A159" s="45" t="s">
        <v>28</v>
      </c>
      <c r="B159" s="33"/>
      <c r="C159" s="40" t="s">
        <v>15</v>
      </c>
      <c r="D159" s="40" t="s">
        <v>16</v>
      </c>
      <c r="E159" s="40" t="s">
        <v>17</v>
      </c>
      <c r="F159" s="40" t="s">
        <v>18</v>
      </c>
      <c r="G159" s="40" t="s">
        <v>19</v>
      </c>
      <c r="H159" s="51" t="s">
        <v>20</v>
      </c>
      <c r="I159" s="33"/>
    </row>
    <row r="160">
      <c r="A160" s="215"/>
      <c r="B160" s="40" t="s">
        <v>30</v>
      </c>
      <c r="C160" s="33"/>
      <c r="D160" s="33"/>
      <c r="E160" s="33"/>
      <c r="F160" s="33"/>
      <c r="G160" s="52">
        <v>95.8</v>
      </c>
      <c r="H160" s="46"/>
      <c r="I160" s="33"/>
    </row>
    <row r="161">
      <c r="A161" s="215"/>
      <c r="B161" s="40" t="s">
        <v>31</v>
      </c>
      <c r="C161" s="33"/>
      <c r="D161" s="33"/>
      <c r="E161" s="33"/>
      <c r="F161" s="33"/>
      <c r="G161" s="87">
        <f>(8+13+12+12)/(9+13+12+13)</f>
        <v>0.9574468085</v>
      </c>
      <c r="H161" s="46"/>
      <c r="I161" s="33"/>
    </row>
    <row r="162">
      <c r="A162" s="216"/>
      <c r="B162" s="53" t="s">
        <v>32</v>
      </c>
      <c r="C162" s="48"/>
      <c r="D162" s="48"/>
      <c r="E162" s="48"/>
      <c r="F162" s="48"/>
      <c r="G162" s="92">
        <f>(10+13+9+8)/(10+13+10+9)</f>
        <v>0.9523809524</v>
      </c>
      <c r="H162" s="49"/>
      <c r="I162" s="33"/>
    </row>
    <row r="163">
      <c r="A163" s="54" t="s">
        <v>33</v>
      </c>
      <c r="C163" s="33"/>
      <c r="D163" s="33"/>
      <c r="E163" s="33"/>
      <c r="F163" s="33"/>
      <c r="G163" s="33"/>
      <c r="H163" s="46"/>
      <c r="I163" s="33"/>
    </row>
    <row r="164">
      <c r="A164" s="55"/>
      <c r="B164" s="33"/>
      <c r="C164" s="33"/>
      <c r="D164" s="33"/>
      <c r="E164" s="33"/>
      <c r="F164" s="33"/>
      <c r="G164" s="33"/>
      <c r="H164" s="46"/>
      <c r="I164" s="33"/>
    </row>
    <row r="165">
      <c r="A165" s="55"/>
      <c r="B165" s="33"/>
      <c r="C165" s="33"/>
      <c r="D165" s="33"/>
      <c r="E165" s="33"/>
      <c r="F165" s="33"/>
      <c r="G165" s="33"/>
      <c r="H165" s="46"/>
      <c r="I165" s="33"/>
    </row>
    <row r="166">
      <c r="A166" s="55"/>
      <c r="B166" s="33"/>
      <c r="C166" s="33"/>
      <c r="D166" s="33"/>
      <c r="E166" s="33"/>
      <c r="F166" s="33"/>
      <c r="G166" s="33"/>
      <c r="H166" s="46"/>
      <c r="I166" s="33"/>
    </row>
    <row r="167">
      <c r="A167" s="56"/>
      <c r="B167" s="48"/>
      <c r="C167" s="48"/>
      <c r="D167" s="48"/>
      <c r="E167" s="48"/>
      <c r="F167" s="48"/>
      <c r="G167" s="48"/>
      <c r="H167" s="49"/>
      <c r="I167" s="33"/>
    </row>
    <row r="168">
      <c r="A168" s="33"/>
      <c r="B168" s="33"/>
      <c r="C168" s="33"/>
      <c r="D168" s="33"/>
      <c r="E168" s="33"/>
      <c r="F168" s="33"/>
      <c r="G168" s="33"/>
      <c r="H168" s="33"/>
      <c r="I168" s="33"/>
    </row>
    <row r="169">
      <c r="A169" s="99" t="s">
        <v>595</v>
      </c>
      <c r="B169" s="43"/>
      <c r="C169" s="43"/>
      <c r="D169" s="43"/>
      <c r="E169" s="43"/>
      <c r="F169" s="43"/>
      <c r="G169" s="43"/>
      <c r="H169" s="44"/>
      <c r="I169" s="33"/>
    </row>
    <row r="170">
      <c r="A170" s="45" t="s">
        <v>1</v>
      </c>
      <c r="B170" s="40" t="s">
        <v>2</v>
      </c>
      <c r="C170" s="40" t="s">
        <v>3</v>
      </c>
      <c r="D170" s="40" t="s">
        <v>4</v>
      </c>
      <c r="E170" s="40" t="s">
        <v>5</v>
      </c>
      <c r="F170" s="40" t="s">
        <v>6</v>
      </c>
      <c r="G170" s="40" t="s">
        <v>7</v>
      </c>
      <c r="H170" s="51" t="s">
        <v>8</v>
      </c>
      <c r="I170" s="33"/>
    </row>
    <row r="171">
      <c r="A171" s="215"/>
      <c r="B171" s="145">
        <v>35377.0</v>
      </c>
      <c r="C171" s="40" t="s">
        <v>540</v>
      </c>
      <c r="D171" s="40" t="s">
        <v>540</v>
      </c>
      <c r="E171" s="40" t="s">
        <v>596</v>
      </c>
      <c r="F171" s="40" t="s">
        <v>597</v>
      </c>
      <c r="G171" s="52">
        <v>2.8216844E7</v>
      </c>
      <c r="H171" s="51" t="s">
        <v>598</v>
      </c>
      <c r="I171" s="33"/>
    </row>
    <row r="172">
      <c r="A172" s="216"/>
      <c r="B172" s="41" t="s">
        <v>13</v>
      </c>
      <c r="C172" s="41" t="s">
        <v>599</v>
      </c>
      <c r="D172" s="73"/>
      <c r="E172" s="73"/>
      <c r="F172" s="43"/>
      <c r="G172" s="43"/>
      <c r="H172" s="44"/>
      <c r="I172" s="33"/>
    </row>
    <row r="173">
      <c r="A173" s="45" t="s">
        <v>14</v>
      </c>
      <c r="B173" s="40" t="s">
        <v>15</v>
      </c>
      <c r="C173" s="40" t="s">
        <v>16</v>
      </c>
      <c r="D173" s="40" t="s">
        <v>17</v>
      </c>
      <c r="E173" s="40" t="s">
        <v>18</v>
      </c>
      <c r="F173" s="40" t="s">
        <v>19</v>
      </c>
      <c r="G173" s="40" t="s">
        <v>20</v>
      </c>
      <c r="H173" s="46"/>
      <c r="I173" s="33"/>
    </row>
    <row r="174">
      <c r="A174" s="216"/>
      <c r="B174" s="48"/>
      <c r="C174" s="48"/>
      <c r="D174" s="33"/>
      <c r="E174" s="214">
        <v>40057.0</v>
      </c>
      <c r="F174" s="47">
        <v>2012.9</v>
      </c>
      <c r="G174" s="47">
        <v>2015.9</v>
      </c>
      <c r="H174" s="49"/>
      <c r="I174" s="33"/>
    </row>
    <row r="175">
      <c r="A175" s="45" t="s">
        <v>21</v>
      </c>
      <c r="B175" s="40" t="s">
        <v>22</v>
      </c>
      <c r="C175" s="40" t="s">
        <v>23</v>
      </c>
      <c r="D175" s="36" t="s">
        <v>24</v>
      </c>
      <c r="E175" s="40" t="s">
        <v>25</v>
      </c>
      <c r="F175" s="40" t="s">
        <v>26</v>
      </c>
      <c r="G175" s="40" t="s">
        <v>27</v>
      </c>
      <c r="H175" s="46"/>
      <c r="I175" s="33"/>
    </row>
    <row r="176">
      <c r="A176" s="216"/>
      <c r="B176" s="48"/>
      <c r="C176" s="53" t="s">
        <v>346</v>
      </c>
      <c r="D176" s="53" t="s">
        <v>346</v>
      </c>
      <c r="E176" s="53" t="s">
        <v>513</v>
      </c>
      <c r="F176" s="53" t="s">
        <v>600</v>
      </c>
      <c r="G176" s="48"/>
      <c r="H176" s="49"/>
      <c r="I176" s="33"/>
    </row>
    <row r="177">
      <c r="A177" s="45" t="s">
        <v>28</v>
      </c>
      <c r="B177" s="33"/>
      <c r="C177" s="40" t="s">
        <v>15</v>
      </c>
      <c r="D177" s="40" t="s">
        <v>16</v>
      </c>
      <c r="E177" s="40" t="s">
        <v>17</v>
      </c>
      <c r="F177" s="40" t="s">
        <v>18</v>
      </c>
      <c r="G177" s="40" t="s">
        <v>19</v>
      </c>
      <c r="H177" s="51" t="s">
        <v>20</v>
      </c>
      <c r="I177" s="33"/>
    </row>
    <row r="178">
      <c r="A178" s="215"/>
      <c r="B178" s="40" t="s">
        <v>30</v>
      </c>
      <c r="C178" s="33"/>
      <c r="D178" s="33"/>
      <c r="E178" s="33"/>
      <c r="F178" s="33"/>
      <c r="G178" s="149">
        <f>(8+9+10+7)/(10+12+12+9)</f>
        <v>0.7906976744</v>
      </c>
      <c r="H178" s="46"/>
      <c r="I178" s="33"/>
    </row>
    <row r="179">
      <c r="A179" s="215"/>
      <c r="B179" s="40" t="s">
        <v>31</v>
      </c>
      <c r="C179" s="33"/>
      <c r="D179" s="33"/>
      <c r="E179" s="33"/>
      <c r="F179" s="33"/>
      <c r="G179" s="87">
        <f>(7+12+10+13)/(9+13+12+13)</f>
        <v>0.8936170213</v>
      </c>
      <c r="H179" s="46"/>
      <c r="I179" s="33"/>
    </row>
    <row r="180">
      <c r="A180" s="216"/>
      <c r="B180" s="53" t="s">
        <v>32</v>
      </c>
      <c r="C180" s="48"/>
      <c r="D180" s="48"/>
      <c r="E180" s="48"/>
      <c r="F180" s="48"/>
      <c r="G180" s="92">
        <f>(8+8+5+2)/(10+13+10+9)</f>
        <v>0.5476190476</v>
      </c>
      <c r="H180" s="49"/>
      <c r="I180" s="33"/>
    </row>
    <row r="181">
      <c r="A181" s="54" t="s">
        <v>33</v>
      </c>
      <c r="C181" s="33"/>
      <c r="D181" s="33"/>
      <c r="E181" s="33"/>
      <c r="F181" s="33"/>
      <c r="G181" s="33"/>
      <c r="H181" s="46"/>
      <c r="I181" s="33"/>
    </row>
    <row r="182">
      <c r="A182" s="54" t="s">
        <v>576</v>
      </c>
      <c r="D182" s="33"/>
      <c r="E182" s="33"/>
      <c r="F182" s="33"/>
      <c r="G182" s="33"/>
      <c r="H182" s="46"/>
      <c r="I182" s="33"/>
    </row>
    <row r="183">
      <c r="A183" s="55"/>
      <c r="B183" s="33"/>
      <c r="C183" s="33"/>
      <c r="D183" s="33"/>
      <c r="E183" s="33"/>
      <c r="F183" s="33"/>
      <c r="G183" s="33"/>
      <c r="H183" s="46"/>
      <c r="I183" s="33"/>
    </row>
    <row r="184">
      <c r="A184" s="55"/>
      <c r="B184" s="33"/>
      <c r="C184" s="33"/>
      <c r="D184" s="33"/>
      <c r="E184" s="33"/>
      <c r="F184" s="33"/>
      <c r="G184" s="33"/>
      <c r="H184" s="46"/>
      <c r="I184" s="33"/>
    </row>
    <row r="185">
      <c r="A185" s="56"/>
      <c r="B185" s="48"/>
      <c r="C185" s="48"/>
      <c r="D185" s="48"/>
      <c r="E185" s="48"/>
      <c r="F185" s="48"/>
      <c r="G185" s="48"/>
      <c r="H185" s="49"/>
      <c r="I185" s="33"/>
    </row>
    <row r="186">
      <c r="A186" s="33"/>
      <c r="B186" s="33"/>
      <c r="C186" s="33"/>
      <c r="D186" s="33"/>
      <c r="E186" s="33"/>
      <c r="F186" s="33"/>
      <c r="G186" s="33"/>
      <c r="H186" s="33"/>
      <c r="I186" s="33"/>
    </row>
    <row r="187">
      <c r="A187" s="99" t="s">
        <v>601</v>
      </c>
      <c r="B187" s="43"/>
      <c r="C187" s="43"/>
      <c r="D187" s="43"/>
      <c r="E187" s="43"/>
      <c r="F187" s="43"/>
      <c r="G187" s="43"/>
      <c r="H187" s="44"/>
      <c r="I187" s="33"/>
    </row>
    <row r="188">
      <c r="A188" s="45" t="s">
        <v>1</v>
      </c>
      <c r="B188" s="40" t="s">
        <v>2</v>
      </c>
      <c r="C188" s="40" t="s">
        <v>3</v>
      </c>
      <c r="D188" s="40" t="s">
        <v>4</v>
      </c>
      <c r="E188" s="40" t="s">
        <v>5</v>
      </c>
      <c r="F188" s="40" t="s">
        <v>6</v>
      </c>
      <c r="G188" s="40" t="s">
        <v>7</v>
      </c>
      <c r="H188" s="51" t="s">
        <v>8</v>
      </c>
      <c r="I188" s="33"/>
    </row>
    <row r="189">
      <c r="A189" s="6"/>
      <c r="B189" s="145">
        <v>35515.0</v>
      </c>
      <c r="C189" s="40" t="s">
        <v>540</v>
      </c>
      <c r="D189" s="40" t="s">
        <v>540</v>
      </c>
      <c r="E189" s="40" t="s">
        <v>559</v>
      </c>
      <c r="F189" s="40" t="s">
        <v>560</v>
      </c>
      <c r="G189" s="40">
        <v>9.70870919E8</v>
      </c>
      <c r="H189" s="51">
        <v>9.22659497E8</v>
      </c>
      <c r="I189" s="33"/>
    </row>
    <row r="190">
      <c r="A190" s="12"/>
      <c r="B190" s="41" t="s">
        <v>13</v>
      </c>
      <c r="C190" s="41" t="s">
        <v>602</v>
      </c>
      <c r="D190" s="73"/>
      <c r="E190" s="73"/>
      <c r="F190" s="73"/>
      <c r="G190" s="73"/>
      <c r="H190" s="153"/>
      <c r="I190" s="33"/>
    </row>
    <row r="191">
      <c r="A191" s="45" t="s">
        <v>14</v>
      </c>
      <c r="B191" s="40" t="s">
        <v>15</v>
      </c>
      <c r="C191" s="40" t="s">
        <v>16</v>
      </c>
      <c r="D191" s="40" t="s">
        <v>17</v>
      </c>
      <c r="E191" s="40" t="s">
        <v>18</v>
      </c>
      <c r="F191" s="40" t="s">
        <v>19</v>
      </c>
      <c r="G191" s="40" t="s">
        <v>20</v>
      </c>
      <c r="H191" s="46"/>
      <c r="I191" s="33"/>
    </row>
    <row r="192">
      <c r="A192" s="12"/>
      <c r="B192" s="48"/>
      <c r="C192" s="48"/>
      <c r="D192" s="33"/>
      <c r="E192" s="214">
        <v>40057.0</v>
      </c>
      <c r="F192" s="47">
        <v>2012.9</v>
      </c>
      <c r="G192" s="47">
        <v>2015.9</v>
      </c>
      <c r="H192" s="49"/>
      <c r="I192" s="33"/>
    </row>
    <row r="193">
      <c r="A193" s="45" t="s">
        <v>21</v>
      </c>
      <c r="B193" s="40" t="s">
        <v>22</v>
      </c>
      <c r="C193" s="40" t="s">
        <v>23</v>
      </c>
      <c r="D193" s="36" t="s">
        <v>24</v>
      </c>
      <c r="E193" s="40" t="s">
        <v>25</v>
      </c>
      <c r="F193" s="40" t="s">
        <v>26</v>
      </c>
      <c r="G193" s="40" t="s">
        <v>27</v>
      </c>
      <c r="H193" s="46"/>
      <c r="I193" s="33"/>
    </row>
    <row r="194">
      <c r="A194" s="12"/>
      <c r="B194" s="48"/>
      <c r="C194" s="48"/>
      <c r="D194" s="53" t="s">
        <v>603</v>
      </c>
      <c r="E194" s="53" t="s">
        <v>604</v>
      </c>
      <c r="F194" s="109"/>
      <c r="G194" s="48"/>
      <c r="H194" s="49"/>
      <c r="I194" s="33"/>
    </row>
    <row r="195">
      <c r="A195" s="45" t="s">
        <v>28</v>
      </c>
      <c r="B195" s="33"/>
      <c r="C195" s="40" t="s">
        <v>15</v>
      </c>
      <c r="D195" s="40" t="s">
        <v>16</v>
      </c>
      <c r="E195" s="40" t="s">
        <v>17</v>
      </c>
      <c r="F195" s="40" t="s">
        <v>18</v>
      </c>
      <c r="G195" s="40" t="s">
        <v>19</v>
      </c>
      <c r="H195" s="51" t="s">
        <v>20</v>
      </c>
      <c r="I195" s="33"/>
    </row>
    <row r="196">
      <c r="A196" s="6"/>
      <c r="B196" s="40" t="s">
        <v>30</v>
      </c>
      <c r="C196" s="33"/>
      <c r="D196" s="33"/>
      <c r="E196" s="33"/>
      <c r="F196" s="33"/>
      <c r="G196" s="52">
        <v>97.9</v>
      </c>
      <c r="H196" s="46"/>
      <c r="I196" s="33"/>
    </row>
    <row r="197">
      <c r="A197" s="6"/>
      <c r="B197" s="40" t="s">
        <v>31</v>
      </c>
      <c r="C197" s="33"/>
      <c r="D197" s="33"/>
      <c r="E197" s="33"/>
      <c r="F197" s="33"/>
      <c r="G197" s="87">
        <f>(9+12+11+13)/(9+13+12+13)</f>
        <v>0.9574468085</v>
      </c>
      <c r="H197" s="46"/>
      <c r="I197" s="33"/>
    </row>
    <row r="198">
      <c r="A198" s="12"/>
      <c r="B198" s="53" t="s">
        <v>32</v>
      </c>
      <c r="C198" s="48"/>
      <c r="D198" s="48"/>
      <c r="E198" s="48"/>
      <c r="F198" s="48"/>
      <c r="G198" s="92">
        <f>(9+13+9+9)/(10+13+10+9)</f>
        <v>0.9523809524</v>
      </c>
      <c r="H198" s="49"/>
      <c r="I198" s="33"/>
    </row>
    <row r="199">
      <c r="A199" s="54" t="s">
        <v>33</v>
      </c>
      <c r="C199" s="33"/>
      <c r="D199" s="33"/>
      <c r="E199" s="33"/>
      <c r="F199" s="33"/>
      <c r="G199" s="40"/>
      <c r="H199" s="46"/>
      <c r="I199" s="33"/>
    </row>
    <row r="200">
      <c r="A200" s="55"/>
      <c r="B200" s="33"/>
      <c r="C200" s="33"/>
      <c r="D200" s="33"/>
      <c r="E200" s="33"/>
      <c r="F200" s="33"/>
      <c r="G200" s="33"/>
      <c r="H200" s="46"/>
      <c r="I200" s="33"/>
    </row>
    <row r="201">
      <c r="A201" s="55"/>
      <c r="B201" s="33"/>
      <c r="C201" s="33"/>
      <c r="D201" s="33"/>
      <c r="E201" s="33"/>
      <c r="F201" s="33"/>
      <c r="G201" s="33"/>
      <c r="H201" s="46"/>
      <c r="I201" s="33"/>
    </row>
    <row r="202">
      <c r="A202" s="55"/>
      <c r="B202" s="33"/>
      <c r="C202" s="33"/>
      <c r="D202" s="33"/>
      <c r="E202" s="33"/>
      <c r="F202" s="33"/>
      <c r="G202" s="33"/>
      <c r="H202" s="46"/>
      <c r="I202" s="33"/>
    </row>
    <row r="203">
      <c r="A203" s="56"/>
      <c r="B203" s="48"/>
      <c r="C203" s="48"/>
      <c r="D203" s="48"/>
      <c r="E203" s="48"/>
      <c r="F203" s="48"/>
      <c r="G203" s="48"/>
      <c r="H203" s="46"/>
      <c r="I203" s="33"/>
    </row>
    <row r="204">
      <c r="A204" s="81"/>
      <c r="B204" s="48"/>
      <c r="C204" s="48"/>
      <c r="D204" s="48"/>
      <c r="E204" s="48"/>
      <c r="F204" s="48"/>
      <c r="G204" s="53"/>
      <c r="H204" s="41"/>
      <c r="I204" s="33"/>
    </row>
    <row r="205">
      <c r="A205" s="81" t="s">
        <v>605</v>
      </c>
      <c r="B205" s="48"/>
      <c r="C205" s="48"/>
      <c r="D205" s="48"/>
      <c r="E205" s="48"/>
      <c r="F205" s="48"/>
      <c r="G205" s="53" t="s">
        <v>606</v>
      </c>
      <c r="H205" s="84" t="s">
        <v>607</v>
      </c>
      <c r="I205" s="33"/>
    </row>
    <row r="206">
      <c r="A206" s="45" t="s">
        <v>1</v>
      </c>
      <c r="B206" s="40" t="s">
        <v>2</v>
      </c>
      <c r="C206" s="40" t="s">
        <v>3</v>
      </c>
      <c r="D206" s="40" t="s">
        <v>4</v>
      </c>
      <c r="E206" s="40" t="s">
        <v>5</v>
      </c>
      <c r="F206" s="40" t="s">
        <v>6</v>
      </c>
      <c r="G206" s="40" t="s">
        <v>7</v>
      </c>
      <c r="H206" s="51" t="s">
        <v>8</v>
      </c>
      <c r="I206" s="33"/>
    </row>
    <row r="207">
      <c r="A207" s="6"/>
      <c r="B207" s="145">
        <v>35442.0</v>
      </c>
      <c r="C207" s="40" t="s">
        <v>540</v>
      </c>
      <c r="D207" s="40" t="s">
        <v>540</v>
      </c>
      <c r="E207" s="40" t="s">
        <v>608</v>
      </c>
      <c r="F207" s="40" t="s">
        <v>609</v>
      </c>
      <c r="G207" s="40">
        <v>9.52066886E8</v>
      </c>
      <c r="H207" s="51">
        <v>9.83066886E8</v>
      </c>
      <c r="I207" s="33"/>
    </row>
    <row r="208">
      <c r="A208" s="12"/>
      <c r="B208" s="41" t="s">
        <v>13</v>
      </c>
      <c r="C208" s="41" t="s">
        <v>602</v>
      </c>
      <c r="D208" s="73"/>
      <c r="E208" s="73"/>
      <c r="F208" s="73"/>
      <c r="G208" s="73"/>
      <c r="H208" s="153"/>
      <c r="I208" s="33"/>
    </row>
    <row r="209">
      <c r="A209" s="45" t="s">
        <v>14</v>
      </c>
      <c r="B209" s="40" t="s">
        <v>15</v>
      </c>
      <c r="C209" s="40" t="s">
        <v>16</v>
      </c>
      <c r="D209" s="40" t="s">
        <v>17</v>
      </c>
      <c r="E209" s="40" t="s">
        <v>18</v>
      </c>
      <c r="F209" s="40" t="s">
        <v>19</v>
      </c>
      <c r="G209" s="40" t="s">
        <v>20</v>
      </c>
      <c r="H209" s="46"/>
      <c r="I209" s="33"/>
    </row>
    <row r="210">
      <c r="A210" s="12"/>
      <c r="B210" s="48"/>
      <c r="C210" s="48"/>
      <c r="D210" s="33"/>
      <c r="E210" s="48"/>
      <c r="F210" s="48"/>
      <c r="G210" s="47">
        <v>2015.9</v>
      </c>
      <c r="H210" s="49"/>
      <c r="I210" s="33"/>
    </row>
    <row r="211">
      <c r="A211" s="45" t="s">
        <v>21</v>
      </c>
      <c r="B211" s="40" t="s">
        <v>22</v>
      </c>
      <c r="C211" s="40" t="s">
        <v>23</v>
      </c>
      <c r="D211" s="36" t="s">
        <v>24</v>
      </c>
      <c r="E211" s="40" t="s">
        <v>25</v>
      </c>
      <c r="F211" s="40" t="s">
        <v>26</v>
      </c>
      <c r="G211" s="40" t="s">
        <v>27</v>
      </c>
      <c r="H211" s="46"/>
      <c r="I211" s="33"/>
    </row>
    <row r="212">
      <c r="A212" s="12"/>
      <c r="B212" s="48"/>
      <c r="C212" s="48"/>
      <c r="D212" s="48"/>
      <c r="E212" s="48"/>
      <c r="F212" s="53" t="s">
        <v>376</v>
      </c>
      <c r="G212" s="48"/>
      <c r="H212" s="49"/>
      <c r="I212" s="33"/>
    </row>
    <row r="213">
      <c r="A213" s="45" t="s">
        <v>28</v>
      </c>
      <c r="B213" s="33"/>
      <c r="C213" s="40" t="s">
        <v>15</v>
      </c>
      <c r="D213" s="40" t="s">
        <v>16</v>
      </c>
      <c r="E213" s="40" t="s">
        <v>17</v>
      </c>
      <c r="F213" s="40" t="s">
        <v>18</v>
      </c>
      <c r="G213" s="40" t="s">
        <v>19</v>
      </c>
      <c r="H213" s="51" t="s">
        <v>20</v>
      </c>
      <c r="I213" s="33"/>
    </row>
    <row r="214">
      <c r="A214" s="6"/>
      <c r="B214" s="40" t="s">
        <v>30</v>
      </c>
      <c r="C214" s="33"/>
      <c r="D214" s="33"/>
      <c r="E214" s="33"/>
      <c r="F214" s="33"/>
      <c r="G214" s="33"/>
      <c r="H214" s="46"/>
      <c r="I214" s="33"/>
    </row>
    <row r="215">
      <c r="A215" s="6"/>
      <c r="B215" s="40" t="s">
        <v>31</v>
      </c>
      <c r="C215" s="33"/>
      <c r="D215" s="33"/>
      <c r="E215" s="33"/>
      <c r="F215" s="33"/>
      <c r="G215" s="33"/>
      <c r="H215" s="46"/>
      <c r="I215" s="33"/>
    </row>
    <row r="216">
      <c r="A216" s="12"/>
      <c r="B216" s="53" t="s">
        <v>32</v>
      </c>
      <c r="C216" s="48"/>
      <c r="D216" s="48"/>
      <c r="E216" s="48"/>
      <c r="F216" s="48"/>
      <c r="G216" s="48"/>
      <c r="H216" s="49"/>
      <c r="I216" s="33"/>
    </row>
    <row r="217">
      <c r="A217" s="54" t="s">
        <v>33</v>
      </c>
      <c r="C217" s="33"/>
      <c r="D217" s="33"/>
      <c r="E217" s="33"/>
      <c r="F217" s="33"/>
      <c r="G217" s="33"/>
      <c r="H217" s="46"/>
      <c r="I217" s="33"/>
    </row>
    <row r="218">
      <c r="A218" s="55"/>
      <c r="B218" s="33"/>
      <c r="C218" s="33"/>
      <c r="D218" s="33"/>
      <c r="E218" s="33"/>
      <c r="F218" s="33"/>
      <c r="G218" s="33"/>
      <c r="H218" s="46"/>
      <c r="I218" s="33"/>
    </row>
    <row r="219">
      <c r="A219" s="55"/>
      <c r="B219" s="33"/>
      <c r="C219" s="33"/>
      <c r="D219" s="33"/>
      <c r="E219" s="33"/>
      <c r="F219" s="33"/>
      <c r="G219" s="33"/>
      <c r="H219" s="46"/>
      <c r="I219" s="33"/>
    </row>
    <row r="220">
      <c r="A220" s="55"/>
      <c r="B220" s="33"/>
      <c r="C220" s="33"/>
      <c r="D220" s="33"/>
      <c r="E220" s="33"/>
      <c r="F220" s="33"/>
      <c r="G220" s="33"/>
      <c r="H220" s="46"/>
      <c r="I220" s="33"/>
    </row>
    <row r="221">
      <c r="A221" s="56"/>
      <c r="B221" s="48"/>
      <c r="C221" s="48"/>
      <c r="D221" s="48"/>
      <c r="E221" s="48"/>
      <c r="F221" s="48"/>
      <c r="G221" s="48"/>
      <c r="H221" s="49"/>
      <c r="I221" s="33"/>
    </row>
    <row r="222">
      <c r="A222" s="81"/>
      <c r="B222" s="48"/>
      <c r="C222" s="48"/>
      <c r="D222" s="48"/>
      <c r="E222" s="48"/>
      <c r="F222" s="48"/>
      <c r="G222" s="48"/>
      <c r="H222" s="53"/>
      <c r="I222" s="33"/>
    </row>
    <row r="223">
      <c r="A223" s="81" t="s">
        <v>610</v>
      </c>
      <c r="B223" s="48"/>
      <c r="C223" s="48"/>
      <c r="D223" s="48"/>
      <c r="E223" s="48"/>
      <c r="F223" s="48"/>
      <c r="G223" s="48"/>
      <c r="H223" s="53" t="s">
        <v>606</v>
      </c>
      <c r="I223" s="44"/>
    </row>
    <row r="224">
      <c r="A224" s="45" t="s">
        <v>1</v>
      </c>
      <c r="B224" s="40" t="s">
        <v>2</v>
      </c>
      <c r="C224" s="40" t="s">
        <v>3</v>
      </c>
      <c r="D224" s="40" t="s">
        <v>4</v>
      </c>
      <c r="E224" s="40" t="s">
        <v>5</v>
      </c>
      <c r="F224" s="40" t="s">
        <v>6</v>
      </c>
      <c r="G224" s="40" t="s">
        <v>7</v>
      </c>
      <c r="H224" s="33"/>
      <c r="I224" s="51" t="s">
        <v>8</v>
      </c>
    </row>
    <row r="225">
      <c r="A225" s="6"/>
      <c r="B225" s="145">
        <v>35664.0</v>
      </c>
      <c r="C225" s="40" t="s">
        <v>540</v>
      </c>
      <c r="D225" s="40" t="s">
        <v>540</v>
      </c>
      <c r="E225" s="40" t="s">
        <v>611</v>
      </c>
      <c r="F225" s="40" t="s">
        <v>612</v>
      </c>
      <c r="G225" s="40">
        <v>9.75416026E8</v>
      </c>
      <c r="I225" s="51">
        <v>9.10834718E8</v>
      </c>
    </row>
    <row r="226">
      <c r="A226" s="12"/>
      <c r="B226" s="41" t="s">
        <v>13</v>
      </c>
      <c r="C226" s="41" t="s">
        <v>613</v>
      </c>
      <c r="D226" s="73"/>
      <c r="E226" s="73"/>
      <c r="F226" s="73"/>
      <c r="G226" s="73"/>
      <c r="H226" s="73"/>
      <c r="I226" s="153"/>
    </row>
    <row r="227">
      <c r="A227" s="45" t="s">
        <v>14</v>
      </c>
      <c r="B227" s="40" t="s">
        <v>15</v>
      </c>
      <c r="C227" s="40" t="s">
        <v>16</v>
      </c>
      <c r="D227" s="40" t="s">
        <v>17</v>
      </c>
      <c r="E227" s="40" t="s">
        <v>18</v>
      </c>
      <c r="F227" s="40" t="s">
        <v>19</v>
      </c>
      <c r="G227" s="40" t="s">
        <v>20</v>
      </c>
      <c r="H227" s="33"/>
      <c r="I227" s="46"/>
    </row>
    <row r="228">
      <c r="A228" s="12"/>
      <c r="B228" s="48"/>
      <c r="C228" s="48"/>
      <c r="D228" s="48"/>
      <c r="E228" s="48"/>
      <c r="F228" s="48"/>
      <c r="G228" s="47">
        <v>2015.9</v>
      </c>
      <c r="H228" s="48"/>
      <c r="I228" s="49"/>
    </row>
    <row r="229">
      <c r="A229" s="45" t="s">
        <v>21</v>
      </c>
      <c r="B229" s="40" t="s">
        <v>22</v>
      </c>
      <c r="C229" s="40" t="s">
        <v>23</v>
      </c>
      <c r="D229" s="40" t="s">
        <v>24</v>
      </c>
      <c r="E229" s="40" t="s">
        <v>25</v>
      </c>
      <c r="F229" s="40" t="s">
        <v>26</v>
      </c>
      <c r="G229" s="40" t="s">
        <v>27</v>
      </c>
      <c r="H229" s="33"/>
      <c r="I229" s="46"/>
    </row>
    <row r="230">
      <c r="A230" s="12"/>
      <c r="B230" s="48"/>
      <c r="C230" s="48"/>
      <c r="D230" s="48"/>
      <c r="E230" s="48"/>
      <c r="F230" s="53" t="s">
        <v>614</v>
      </c>
      <c r="G230" s="48"/>
      <c r="H230" s="48"/>
      <c r="I230" s="49"/>
    </row>
    <row r="231">
      <c r="A231" s="45" t="s">
        <v>28</v>
      </c>
      <c r="B231" s="33"/>
      <c r="C231" s="40" t="s">
        <v>15</v>
      </c>
      <c r="D231" s="40" t="s">
        <v>16</v>
      </c>
      <c r="E231" s="40" t="s">
        <v>17</v>
      </c>
      <c r="F231" s="40" t="s">
        <v>18</v>
      </c>
      <c r="G231" s="40" t="s">
        <v>19</v>
      </c>
      <c r="H231" s="33"/>
      <c r="I231" s="51" t="s">
        <v>20</v>
      </c>
    </row>
    <row r="232">
      <c r="A232" s="6"/>
      <c r="B232" s="40" t="s">
        <v>30</v>
      </c>
      <c r="C232" s="33"/>
      <c r="D232" s="33"/>
      <c r="E232" s="33"/>
      <c r="F232" s="33"/>
      <c r="G232" s="33"/>
      <c r="H232" s="33"/>
      <c r="I232" s="46"/>
    </row>
    <row r="233">
      <c r="A233" s="6"/>
      <c r="B233" s="40" t="s">
        <v>31</v>
      </c>
      <c r="C233" s="33"/>
      <c r="D233" s="33"/>
      <c r="E233" s="33"/>
      <c r="F233" s="33"/>
      <c r="G233" s="33"/>
      <c r="H233" s="33"/>
      <c r="I233" s="46"/>
    </row>
    <row r="234">
      <c r="A234" s="12"/>
      <c r="B234" s="53" t="s">
        <v>32</v>
      </c>
      <c r="C234" s="48"/>
      <c r="D234" s="48"/>
      <c r="E234" s="48"/>
      <c r="F234" s="48"/>
      <c r="G234" s="48"/>
      <c r="H234" s="48"/>
      <c r="I234" s="49"/>
    </row>
    <row r="235">
      <c r="A235" s="54" t="s">
        <v>33</v>
      </c>
      <c r="C235" s="33"/>
      <c r="D235" s="33"/>
      <c r="E235" s="33"/>
      <c r="F235" s="33"/>
      <c r="G235" s="33"/>
      <c r="H235" s="33"/>
      <c r="I235" s="46"/>
    </row>
    <row r="236">
      <c r="A236" s="34"/>
      <c r="B236" s="34"/>
      <c r="C236" s="34"/>
      <c r="D236" s="34"/>
      <c r="E236" s="34"/>
      <c r="F236" s="34"/>
      <c r="G236" s="34"/>
      <c r="H236" s="34"/>
      <c r="I236" s="152"/>
    </row>
    <row r="237">
      <c r="A237" s="55"/>
      <c r="B237" s="33"/>
      <c r="C237" s="33"/>
      <c r="D237" s="33"/>
      <c r="E237" s="33"/>
      <c r="F237" s="33"/>
      <c r="G237" s="33"/>
      <c r="H237" s="33"/>
      <c r="I237" s="46"/>
    </row>
    <row r="238">
      <c r="A238" s="55"/>
      <c r="B238" s="33"/>
      <c r="C238" s="33"/>
      <c r="D238" s="33"/>
      <c r="E238" s="33"/>
      <c r="F238" s="33"/>
      <c r="G238" s="33"/>
      <c r="H238" s="33"/>
      <c r="I238" s="46"/>
    </row>
    <row r="239">
      <c r="A239" s="56"/>
      <c r="B239" s="48"/>
      <c r="C239" s="48"/>
      <c r="D239" s="48"/>
      <c r="E239" s="48"/>
      <c r="F239" s="48"/>
      <c r="G239" s="48"/>
      <c r="H239" s="48"/>
      <c r="I239" s="49"/>
    </row>
    <row r="242">
      <c r="A242" s="81" t="s">
        <v>615</v>
      </c>
      <c r="B242" s="48"/>
      <c r="C242" s="48"/>
      <c r="D242" s="48"/>
      <c r="E242" s="48"/>
      <c r="F242" s="48"/>
      <c r="G242" s="48"/>
      <c r="H242" s="53" t="s">
        <v>606</v>
      </c>
      <c r="I242" s="44"/>
    </row>
    <row r="243">
      <c r="A243" s="45" t="s">
        <v>1</v>
      </c>
      <c r="B243" s="40" t="s">
        <v>2</v>
      </c>
      <c r="C243" s="40" t="s">
        <v>3</v>
      </c>
      <c r="D243" s="40" t="s">
        <v>4</v>
      </c>
      <c r="E243" s="40" t="s">
        <v>5</v>
      </c>
      <c r="F243" s="40" t="s">
        <v>6</v>
      </c>
      <c r="G243" s="40" t="s">
        <v>7</v>
      </c>
      <c r="H243" s="33"/>
      <c r="I243" s="51" t="s">
        <v>8</v>
      </c>
    </row>
    <row r="244">
      <c r="A244" s="6"/>
      <c r="B244" s="145">
        <v>35090.0</v>
      </c>
      <c r="C244" s="40" t="s">
        <v>540</v>
      </c>
      <c r="D244" s="40" t="s">
        <v>540</v>
      </c>
      <c r="E244" s="40" t="s">
        <v>616</v>
      </c>
      <c r="F244" s="40" t="s">
        <v>617</v>
      </c>
      <c r="G244" s="40" t="s">
        <v>618</v>
      </c>
      <c r="I244" s="51" t="s">
        <v>619</v>
      </c>
    </row>
    <row r="245">
      <c r="A245" s="12"/>
      <c r="B245" s="41" t="s">
        <v>13</v>
      </c>
      <c r="C245" s="41"/>
      <c r="D245" s="73"/>
      <c r="E245" s="73"/>
      <c r="F245" s="73"/>
      <c r="G245" s="73"/>
      <c r="H245" s="73"/>
      <c r="I245" s="153"/>
    </row>
    <row r="246">
      <c r="A246" s="45" t="s">
        <v>14</v>
      </c>
      <c r="B246" s="40" t="s">
        <v>15</v>
      </c>
      <c r="C246" s="40" t="s">
        <v>16</v>
      </c>
      <c r="D246" s="40" t="s">
        <v>17</v>
      </c>
      <c r="E246" s="40" t="s">
        <v>18</v>
      </c>
      <c r="F246" s="40" t="s">
        <v>19</v>
      </c>
      <c r="G246" s="40" t="s">
        <v>20</v>
      </c>
      <c r="H246" s="40" t="s">
        <v>27</v>
      </c>
      <c r="I246" s="46"/>
    </row>
    <row r="247">
      <c r="A247" s="12"/>
      <c r="B247" s="48"/>
      <c r="C247" s="48"/>
      <c r="D247" s="48"/>
      <c r="E247" s="48"/>
      <c r="F247" s="48"/>
      <c r="G247" s="47"/>
      <c r="H247" s="53">
        <v>107.0</v>
      </c>
      <c r="I247" s="49"/>
    </row>
    <row r="248">
      <c r="A248" s="45" t="s">
        <v>21</v>
      </c>
      <c r="B248" s="40" t="s">
        <v>22</v>
      </c>
      <c r="C248" s="40" t="s">
        <v>23</v>
      </c>
      <c r="D248" s="40" t="s">
        <v>24</v>
      </c>
      <c r="E248" s="40" t="s">
        <v>25</v>
      </c>
      <c r="F248" s="40" t="s">
        <v>26</v>
      </c>
      <c r="G248" s="40" t="s">
        <v>27</v>
      </c>
      <c r="H248" s="33"/>
      <c r="I248" s="46"/>
    </row>
    <row r="249">
      <c r="A249" s="12"/>
      <c r="B249" s="48"/>
      <c r="C249" s="48"/>
      <c r="D249" s="48"/>
      <c r="E249" s="48"/>
      <c r="F249" s="53"/>
      <c r="G249" s="53" t="s">
        <v>620</v>
      </c>
      <c r="H249" s="48"/>
      <c r="I249" s="49"/>
    </row>
    <row r="250">
      <c r="A250" s="45" t="s">
        <v>28</v>
      </c>
      <c r="B250" s="33"/>
      <c r="C250" s="40" t="s">
        <v>15</v>
      </c>
      <c r="D250" s="40" t="s">
        <v>16</v>
      </c>
      <c r="E250" s="40" t="s">
        <v>17</v>
      </c>
      <c r="F250" s="40" t="s">
        <v>18</v>
      </c>
      <c r="G250" s="40" t="s">
        <v>19</v>
      </c>
      <c r="H250" s="33"/>
      <c r="I250" s="51" t="s">
        <v>20</v>
      </c>
    </row>
    <row r="251">
      <c r="A251" s="6"/>
      <c r="B251" s="40" t="s">
        <v>30</v>
      </c>
      <c r="C251" s="33"/>
      <c r="D251" s="33"/>
      <c r="E251" s="33"/>
      <c r="F251" s="33"/>
      <c r="G251" s="33"/>
      <c r="H251" s="33"/>
      <c r="I251" s="46"/>
    </row>
    <row r="252">
      <c r="A252" s="6"/>
      <c r="B252" s="40" t="s">
        <v>31</v>
      </c>
      <c r="C252" s="33"/>
      <c r="D252" s="33"/>
      <c r="E252" s="33"/>
      <c r="F252" s="33"/>
      <c r="G252" s="33"/>
      <c r="H252" s="33"/>
      <c r="I252" s="46"/>
    </row>
    <row r="253">
      <c r="A253" s="12"/>
      <c r="B253" s="53" t="s">
        <v>32</v>
      </c>
      <c r="C253" s="48"/>
      <c r="D253" s="48"/>
      <c r="E253" s="48"/>
      <c r="F253" s="48"/>
      <c r="G253" s="48"/>
      <c r="H253" s="48"/>
      <c r="I253" s="49"/>
    </row>
    <row r="254">
      <c r="A254" s="54" t="s">
        <v>33</v>
      </c>
      <c r="C254" s="33"/>
      <c r="D254" s="33"/>
      <c r="E254" s="33"/>
      <c r="F254" s="33"/>
      <c r="G254" s="33"/>
      <c r="H254" s="33"/>
      <c r="I254" s="46"/>
    </row>
    <row r="255">
      <c r="A255" s="59" t="s">
        <v>621</v>
      </c>
      <c r="B255" s="34"/>
      <c r="C255" s="34"/>
      <c r="D255" s="34"/>
      <c r="E255" s="34"/>
      <c r="F255" s="34"/>
      <c r="G255" s="34"/>
      <c r="H255" s="34"/>
      <c r="I255" s="152"/>
    </row>
    <row r="256">
      <c r="A256" s="55"/>
      <c r="B256" s="33"/>
      <c r="C256" s="33"/>
      <c r="D256" s="33"/>
      <c r="E256" s="33"/>
      <c r="F256" s="33"/>
      <c r="G256" s="33"/>
      <c r="H256" s="33"/>
      <c r="I256" s="46"/>
    </row>
    <row r="257">
      <c r="A257" s="55"/>
      <c r="B257" s="33"/>
      <c r="C257" s="33"/>
      <c r="D257" s="33"/>
      <c r="E257" s="33"/>
      <c r="F257" s="33"/>
      <c r="G257" s="33"/>
      <c r="H257" s="33"/>
      <c r="I257" s="46"/>
    </row>
    <row r="258">
      <c r="A258" s="56"/>
      <c r="B258" s="48"/>
      <c r="C258" s="48"/>
      <c r="D258" s="48"/>
      <c r="E258" s="48"/>
      <c r="F258" s="48"/>
      <c r="G258" s="48"/>
      <c r="H258" s="48"/>
      <c r="I258" s="49"/>
    </row>
  </sheetData>
  <mergeCells count="57">
    <mergeCell ref="A246:A247"/>
    <mergeCell ref="A248:A249"/>
    <mergeCell ref="A250:A253"/>
    <mergeCell ref="A254:B254"/>
    <mergeCell ref="A213:A216"/>
    <mergeCell ref="A224:A226"/>
    <mergeCell ref="A227:A228"/>
    <mergeCell ref="A229:A230"/>
    <mergeCell ref="A231:A234"/>
    <mergeCell ref="A235:B235"/>
    <mergeCell ref="A243:A245"/>
    <mergeCell ref="A2:A4"/>
    <mergeCell ref="C4:F4"/>
    <mergeCell ref="A5:A6"/>
    <mergeCell ref="A7:A8"/>
    <mergeCell ref="F8:G8"/>
    <mergeCell ref="A9:A12"/>
    <mergeCell ref="C23:H23"/>
    <mergeCell ref="A21:A23"/>
    <mergeCell ref="A24:A25"/>
    <mergeCell ref="A26:A27"/>
    <mergeCell ref="A28:A31"/>
    <mergeCell ref="A32:B32"/>
    <mergeCell ref="C45:G45"/>
    <mergeCell ref="C63:H63"/>
    <mergeCell ref="A54:B54"/>
    <mergeCell ref="A72:B72"/>
    <mergeCell ref="C81:F81"/>
    <mergeCell ref="A90:B90"/>
    <mergeCell ref="C100:F100"/>
    <mergeCell ref="A110:C110"/>
    <mergeCell ref="C118:F118"/>
    <mergeCell ref="A109:B109"/>
    <mergeCell ref="A127:B127"/>
    <mergeCell ref="C136:E136"/>
    <mergeCell ref="A145:B145"/>
    <mergeCell ref="C154:E154"/>
    <mergeCell ref="A163:B163"/>
    <mergeCell ref="C172:E172"/>
    <mergeCell ref="A181:B181"/>
    <mergeCell ref="A182:C182"/>
    <mergeCell ref="A188:A190"/>
    <mergeCell ref="C190:H190"/>
    <mergeCell ref="A191:A192"/>
    <mergeCell ref="A193:A194"/>
    <mergeCell ref="E194:F194"/>
    <mergeCell ref="G225:H225"/>
    <mergeCell ref="C226:I226"/>
    <mergeCell ref="G244:H244"/>
    <mergeCell ref="C245:I245"/>
    <mergeCell ref="A195:A198"/>
    <mergeCell ref="A199:B199"/>
    <mergeCell ref="A206:A208"/>
    <mergeCell ref="C208:H208"/>
    <mergeCell ref="A209:A210"/>
    <mergeCell ref="A211:A212"/>
    <mergeCell ref="A217:B217"/>
  </mergeCells>
  <drawing r:id="rId1"/>
</worksheet>
</file>